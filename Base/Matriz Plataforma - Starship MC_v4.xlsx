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nddsa-my.sharepoint.com/personal/alvadi_junior_ndd_tech/Documents/Área de Trabalho/Matriz/"/>
    </mc:Choice>
  </mc:AlternateContent>
  <xr:revisionPtr revIDLastSave="0" documentId="8_{5895BEAC-2A63-420F-9C08-521FA233B649}" xr6:coauthVersionLast="47" xr6:coauthVersionMax="47" xr10:uidLastSave="{00000000-0000-0000-0000-000000000000}"/>
  <bookViews>
    <workbookView xWindow="-120" yWindow="-120" windowWidth="29040" windowHeight="15720" firstSheet="3" activeTab="3" xr2:uid="{00000000-000D-0000-FFFF-FFFF00000000}"/>
  </bookViews>
  <sheets>
    <sheet name="Conceitos" sheetId="2" r:id="rId1"/>
    <sheet name="Legenda" sheetId="3" r:id="rId2"/>
    <sheet name="Matriz_Comportamentos" sheetId="9" r:id="rId3"/>
    <sheet name="Matriz_Plataforma" sheetId="1" r:id="rId4"/>
    <sheet name="Descritivo por Conceito" sheetId="8" r:id="rId5"/>
    <sheet name="Meta" sheetId="1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 r="F24" i="11"/>
  <c r="AM138" i="1"/>
  <c r="D18" i="11" s="1"/>
  <c r="AK138" i="1"/>
  <c r="AI138" i="1"/>
  <c r="D16" i="11" s="1"/>
  <c r="AG138" i="1"/>
  <c r="AD138" i="1"/>
  <c r="AB138" i="1"/>
  <c r="D13" i="11" s="1"/>
  <c r="Z138" i="1"/>
  <c r="D12" i="11" s="1"/>
  <c r="X138" i="1"/>
  <c r="D11" i="11" s="1"/>
  <c r="U138" i="1"/>
  <c r="S138" i="1"/>
  <c r="Q138" i="1"/>
  <c r="D8" i="11" s="1"/>
  <c r="O138" i="1"/>
  <c r="D7" i="11" s="1"/>
  <c r="L138" i="1"/>
  <c r="J138" i="1"/>
  <c r="H138" i="1"/>
  <c r="F138" i="1"/>
  <c r="D3" i="11" s="1"/>
  <c r="BB3" i="1"/>
  <c r="C28" i="11" s="1"/>
  <c r="B18" i="11"/>
  <c r="B17" i="11"/>
  <c r="B16" i="11"/>
  <c r="B15" i="11"/>
  <c r="B14" i="11"/>
  <c r="B13" i="11"/>
  <c r="B12" i="11"/>
  <c r="B11" i="11"/>
  <c r="B10" i="11"/>
  <c r="B9" i="11"/>
  <c r="B8" i="11"/>
  <c r="B7" i="11"/>
  <c r="B6" i="11"/>
  <c r="B5" i="11"/>
  <c r="B4" i="11"/>
  <c r="B3" i="11"/>
  <c r="B40" i="11"/>
  <c r="B39" i="11"/>
  <c r="B38" i="11"/>
  <c r="B37" i="11"/>
  <c r="B36" i="11"/>
  <c r="B35" i="11"/>
  <c r="B34" i="11"/>
  <c r="B33" i="11"/>
  <c r="B32" i="11"/>
  <c r="B31" i="11"/>
  <c r="B30" i="11"/>
  <c r="B29" i="11"/>
  <c r="B28" i="11"/>
  <c r="B27" i="11"/>
  <c r="B26" i="11"/>
  <c r="B25" i="11"/>
  <c r="B24" i="11"/>
  <c r="D10" i="11"/>
  <c r="D17" i="11"/>
  <c r="D15" i="11"/>
  <c r="D14" i="11"/>
  <c r="D9" i="11"/>
  <c r="D6" i="11"/>
  <c r="D5" i="11"/>
  <c r="D4" i="11"/>
  <c r="AL138" i="1"/>
  <c r="C18" i="11" s="1"/>
  <c r="AJ138" i="1"/>
  <c r="C17" i="11" s="1"/>
  <c r="AH138" i="1"/>
  <c r="C16" i="11" s="1"/>
  <c r="AF138" i="1"/>
  <c r="C15" i="11" s="1"/>
  <c r="AC138" i="1"/>
  <c r="C14" i="11" s="1"/>
  <c r="AA138" i="1"/>
  <c r="C13" i="11" s="1"/>
  <c r="Y138" i="1"/>
  <c r="C12" i="11" s="1"/>
  <c r="W138" i="1"/>
  <c r="C11" i="11" s="1"/>
  <c r="T138" i="1"/>
  <c r="C10" i="11" s="1"/>
  <c r="R138" i="1"/>
  <c r="C9" i="11" s="1"/>
  <c r="P138" i="1"/>
  <c r="C8" i="11" s="1"/>
  <c r="N138" i="1"/>
  <c r="C7" i="11" s="1"/>
  <c r="K138" i="1"/>
  <c r="C6" i="11" s="1"/>
  <c r="I138" i="1"/>
  <c r="C5" i="11" s="1"/>
  <c r="G138" i="1"/>
  <c r="C4" i="11" s="1"/>
  <c r="E138" i="1"/>
  <c r="C3" i="11" s="1"/>
  <c r="D28" i="11" l="1"/>
  <c r="CA136" i="1"/>
  <c r="BY136" i="1"/>
  <c r="BW136" i="1"/>
  <c r="BU136" i="1"/>
  <c r="BS136" i="1"/>
  <c r="BQ136" i="1"/>
  <c r="BO136" i="1"/>
  <c r="BM136" i="1"/>
  <c r="BK136" i="1"/>
  <c r="BI136" i="1"/>
  <c r="BG136" i="1"/>
  <c r="BE136" i="1"/>
  <c r="BC136" i="1"/>
  <c r="BA136" i="1"/>
  <c r="AY136" i="1"/>
  <c r="AW136" i="1"/>
  <c r="AU136" i="1"/>
  <c r="CA6" i="1"/>
  <c r="CA7" i="1"/>
  <c r="CA8" i="1"/>
  <c r="CA9" i="1"/>
  <c r="CA10" i="1"/>
  <c r="CA11" i="1"/>
  <c r="CA12" i="1"/>
  <c r="CA13" i="1"/>
  <c r="CA14" i="1"/>
  <c r="CA15" i="1"/>
  <c r="CA16" i="1"/>
  <c r="CA17" i="1"/>
  <c r="CA18" i="1"/>
  <c r="CA19" i="1"/>
  <c r="CA20" i="1"/>
  <c r="CA21" i="1"/>
  <c r="CA22" i="1"/>
  <c r="CA23" i="1"/>
  <c r="CA24" i="1"/>
  <c r="CA25" i="1"/>
  <c r="CA26" i="1"/>
  <c r="CA27" i="1"/>
  <c r="CA28" i="1"/>
  <c r="CA29" i="1"/>
  <c r="CA30" i="1"/>
  <c r="CA31" i="1"/>
  <c r="CA32" i="1"/>
  <c r="CA33" i="1"/>
  <c r="CA113" i="1"/>
  <c r="CA34" i="1"/>
  <c r="CA35" i="1"/>
  <c r="CA36" i="1"/>
  <c r="CA37" i="1"/>
  <c r="CA38" i="1"/>
  <c r="CA39" i="1"/>
  <c r="CA40" i="1"/>
  <c r="CA41" i="1"/>
  <c r="CA42" i="1"/>
  <c r="CA43" i="1"/>
  <c r="CA44" i="1"/>
  <c r="CA45" i="1"/>
  <c r="CA46" i="1"/>
  <c r="CA47" i="1"/>
  <c r="CA48" i="1"/>
  <c r="CA49" i="1"/>
  <c r="CA50" i="1"/>
  <c r="CA51" i="1"/>
  <c r="CA52" i="1"/>
  <c r="CA53" i="1"/>
  <c r="CA54" i="1"/>
  <c r="CA55" i="1"/>
  <c r="CA112" i="1"/>
  <c r="CA56" i="1"/>
  <c r="CA57" i="1"/>
  <c r="CA58" i="1"/>
  <c r="CA59" i="1"/>
  <c r="CA60" i="1"/>
  <c r="CA61" i="1"/>
  <c r="CA62" i="1"/>
  <c r="CA63" i="1"/>
  <c r="CA64" i="1"/>
  <c r="CA65" i="1"/>
  <c r="CA66" i="1"/>
  <c r="CA67" i="1"/>
  <c r="CA68" i="1"/>
  <c r="CA69" i="1"/>
  <c r="CA70" i="1"/>
  <c r="CA71" i="1"/>
  <c r="CA72" i="1"/>
  <c r="CA73" i="1"/>
  <c r="CA74" i="1"/>
  <c r="CA75" i="1"/>
  <c r="CA76" i="1"/>
  <c r="CA77" i="1"/>
  <c r="CA78" i="1"/>
  <c r="CA79" i="1"/>
  <c r="CA80" i="1"/>
  <c r="CA81" i="1"/>
  <c r="CA82" i="1"/>
  <c r="CA83" i="1"/>
  <c r="CA114" i="1"/>
  <c r="CA84" i="1"/>
  <c r="CA85" i="1"/>
  <c r="CA86" i="1"/>
  <c r="CA87" i="1"/>
  <c r="CA88" i="1"/>
  <c r="CA89" i="1"/>
  <c r="CA90" i="1"/>
  <c r="CA91" i="1"/>
  <c r="CA92" i="1"/>
  <c r="CA93" i="1"/>
  <c r="CA94" i="1"/>
  <c r="CA95" i="1"/>
  <c r="CA96" i="1"/>
  <c r="CA97" i="1"/>
  <c r="CA98" i="1"/>
  <c r="CA99" i="1"/>
  <c r="CA100" i="1"/>
  <c r="CA101" i="1"/>
  <c r="CA102" i="1"/>
  <c r="CA103" i="1"/>
  <c r="CA104" i="1"/>
  <c r="CA105" i="1"/>
  <c r="CA106" i="1"/>
  <c r="CA107" i="1"/>
  <c r="CA108" i="1"/>
  <c r="CA109" i="1"/>
  <c r="CA110" i="1"/>
  <c r="CA111" i="1"/>
  <c r="CA115" i="1"/>
  <c r="CA116" i="1"/>
  <c r="CA117" i="1"/>
  <c r="CA118" i="1"/>
  <c r="CA119" i="1"/>
  <c r="CA120" i="1"/>
  <c r="CA121" i="1"/>
  <c r="CA122" i="1"/>
  <c r="CA123" i="1"/>
  <c r="CA124" i="1"/>
  <c r="CA125" i="1"/>
  <c r="CA126" i="1"/>
  <c r="CA127" i="1"/>
  <c r="CA128" i="1"/>
  <c r="CA129" i="1"/>
  <c r="CA130" i="1"/>
  <c r="CA131" i="1"/>
  <c r="CA132" i="1"/>
  <c r="CA133" i="1"/>
  <c r="CA134" i="1"/>
  <c r="CA135" i="1"/>
  <c r="CA137" i="1"/>
  <c r="CA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113" i="1"/>
  <c r="BY34" i="1"/>
  <c r="BY35" i="1"/>
  <c r="BY36" i="1"/>
  <c r="BY37" i="1"/>
  <c r="BY38" i="1"/>
  <c r="BY39" i="1"/>
  <c r="BY40" i="1"/>
  <c r="BY41" i="1"/>
  <c r="BY42" i="1"/>
  <c r="BY43" i="1"/>
  <c r="BY44" i="1"/>
  <c r="BY45" i="1"/>
  <c r="BY46" i="1"/>
  <c r="BY47" i="1"/>
  <c r="BY48" i="1"/>
  <c r="BY49" i="1"/>
  <c r="BY50" i="1"/>
  <c r="BY51" i="1"/>
  <c r="BY52" i="1"/>
  <c r="BY53" i="1"/>
  <c r="BY54" i="1"/>
  <c r="BY55" i="1"/>
  <c r="BY112" i="1"/>
  <c r="BY56" i="1"/>
  <c r="BY57" i="1"/>
  <c r="BY58" i="1"/>
  <c r="BY59" i="1"/>
  <c r="BY60" i="1"/>
  <c r="BY61" i="1"/>
  <c r="BY62" i="1"/>
  <c r="BY63" i="1"/>
  <c r="BY64" i="1"/>
  <c r="BY65" i="1"/>
  <c r="BY66" i="1"/>
  <c r="BY67" i="1"/>
  <c r="BY68" i="1"/>
  <c r="BY69" i="1"/>
  <c r="BY70" i="1"/>
  <c r="BY71" i="1"/>
  <c r="BY72" i="1"/>
  <c r="BY73" i="1"/>
  <c r="BY74" i="1"/>
  <c r="BY75" i="1"/>
  <c r="BY76" i="1"/>
  <c r="BY77" i="1"/>
  <c r="BY78" i="1"/>
  <c r="BY79" i="1"/>
  <c r="BY80" i="1"/>
  <c r="BY81" i="1"/>
  <c r="BY82" i="1"/>
  <c r="BY83" i="1"/>
  <c r="BY114" i="1"/>
  <c r="BY84" i="1"/>
  <c r="BY85" i="1"/>
  <c r="BY86" i="1"/>
  <c r="BY87" i="1"/>
  <c r="BY88" i="1"/>
  <c r="BY89" i="1"/>
  <c r="BY90" i="1"/>
  <c r="BY91" i="1"/>
  <c r="BY92" i="1"/>
  <c r="BY93" i="1"/>
  <c r="BY94" i="1"/>
  <c r="BY95" i="1"/>
  <c r="BY96" i="1"/>
  <c r="BY97" i="1"/>
  <c r="BY98" i="1"/>
  <c r="BY99" i="1"/>
  <c r="BY100" i="1"/>
  <c r="BY101" i="1"/>
  <c r="BY102" i="1"/>
  <c r="BY103" i="1"/>
  <c r="BY104" i="1"/>
  <c r="BY105" i="1"/>
  <c r="BY106" i="1"/>
  <c r="BY107" i="1"/>
  <c r="BY108" i="1"/>
  <c r="BY109" i="1"/>
  <c r="BY110" i="1"/>
  <c r="BY111" i="1"/>
  <c r="BY115" i="1"/>
  <c r="BY116" i="1"/>
  <c r="BY117" i="1"/>
  <c r="BY118" i="1"/>
  <c r="BY119" i="1"/>
  <c r="BY120" i="1"/>
  <c r="BY121" i="1"/>
  <c r="BY122" i="1"/>
  <c r="BY123" i="1"/>
  <c r="BY124" i="1"/>
  <c r="BY125" i="1"/>
  <c r="BY126" i="1"/>
  <c r="BY127" i="1"/>
  <c r="BY128" i="1"/>
  <c r="BY129" i="1"/>
  <c r="BY130" i="1"/>
  <c r="BY131" i="1"/>
  <c r="BY132" i="1"/>
  <c r="BY133" i="1"/>
  <c r="BY134" i="1"/>
  <c r="BY135" i="1"/>
  <c r="BY137" i="1"/>
  <c r="BY5" i="1"/>
  <c r="BW6" i="1"/>
  <c r="BW7" i="1"/>
  <c r="BW8" i="1"/>
  <c r="BW9" i="1"/>
  <c r="BW10" i="1"/>
  <c r="BW11" i="1"/>
  <c r="BW12" i="1"/>
  <c r="BW13" i="1"/>
  <c r="BW14" i="1"/>
  <c r="BW15" i="1"/>
  <c r="BW16" i="1"/>
  <c r="BW17" i="1"/>
  <c r="BW18" i="1"/>
  <c r="BW19" i="1"/>
  <c r="BW20" i="1"/>
  <c r="BW21" i="1"/>
  <c r="BW22" i="1"/>
  <c r="BW23" i="1"/>
  <c r="BW24" i="1"/>
  <c r="BW25" i="1"/>
  <c r="BW26" i="1"/>
  <c r="BW27" i="1"/>
  <c r="BW28" i="1"/>
  <c r="BW29" i="1"/>
  <c r="BW30" i="1"/>
  <c r="BW31" i="1"/>
  <c r="BW32" i="1"/>
  <c r="BW33" i="1"/>
  <c r="BW113" i="1"/>
  <c r="BW34" i="1"/>
  <c r="BW35" i="1"/>
  <c r="BW36" i="1"/>
  <c r="BW37" i="1"/>
  <c r="BW38" i="1"/>
  <c r="BW39" i="1"/>
  <c r="BW40" i="1"/>
  <c r="BW41" i="1"/>
  <c r="BW42" i="1"/>
  <c r="BW43" i="1"/>
  <c r="BW44" i="1"/>
  <c r="BW45" i="1"/>
  <c r="BW46" i="1"/>
  <c r="BW47" i="1"/>
  <c r="BW48" i="1"/>
  <c r="BW49" i="1"/>
  <c r="BW50" i="1"/>
  <c r="BW51" i="1"/>
  <c r="BW52" i="1"/>
  <c r="BW53" i="1"/>
  <c r="BW54" i="1"/>
  <c r="BW55" i="1"/>
  <c r="BW112" i="1"/>
  <c r="BW56" i="1"/>
  <c r="BW57" i="1"/>
  <c r="BW58" i="1"/>
  <c r="BW59" i="1"/>
  <c r="BW60" i="1"/>
  <c r="BW61" i="1"/>
  <c r="BW62" i="1"/>
  <c r="BW63" i="1"/>
  <c r="BW64" i="1"/>
  <c r="BW65" i="1"/>
  <c r="BW66" i="1"/>
  <c r="BW67" i="1"/>
  <c r="BW68" i="1"/>
  <c r="BW69" i="1"/>
  <c r="BW70" i="1"/>
  <c r="BW71" i="1"/>
  <c r="BW72" i="1"/>
  <c r="BW73" i="1"/>
  <c r="BW74" i="1"/>
  <c r="BW75" i="1"/>
  <c r="BW76" i="1"/>
  <c r="BW77" i="1"/>
  <c r="BW78" i="1"/>
  <c r="BW79" i="1"/>
  <c r="BW80" i="1"/>
  <c r="BW81" i="1"/>
  <c r="BW82" i="1"/>
  <c r="BW83" i="1"/>
  <c r="BW114" i="1"/>
  <c r="BW84" i="1"/>
  <c r="BW85" i="1"/>
  <c r="BW86" i="1"/>
  <c r="BW87" i="1"/>
  <c r="BW88" i="1"/>
  <c r="BW89" i="1"/>
  <c r="BW90" i="1"/>
  <c r="BW91" i="1"/>
  <c r="BW92" i="1"/>
  <c r="BW93" i="1"/>
  <c r="BW94" i="1"/>
  <c r="BW95" i="1"/>
  <c r="BW96" i="1"/>
  <c r="BW97" i="1"/>
  <c r="BW98" i="1"/>
  <c r="BW99" i="1"/>
  <c r="BW100" i="1"/>
  <c r="BW101" i="1"/>
  <c r="BW102" i="1"/>
  <c r="BW103" i="1"/>
  <c r="BW104" i="1"/>
  <c r="BW105" i="1"/>
  <c r="BW106" i="1"/>
  <c r="BW107" i="1"/>
  <c r="BW108" i="1"/>
  <c r="BW109" i="1"/>
  <c r="BW110" i="1"/>
  <c r="BW111" i="1"/>
  <c r="BW115" i="1"/>
  <c r="BW116" i="1"/>
  <c r="BW117" i="1"/>
  <c r="BW118" i="1"/>
  <c r="BW119" i="1"/>
  <c r="BW120" i="1"/>
  <c r="BW121" i="1"/>
  <c r="BW122" i="1"/>
  <c r="BW123" i="1"/>
  <c r="BW124" i="1"/>
  <c r="BW125" i="1"/>
  <c r="BW126" i="1"/>
  <c r="BW127" i="1"/>
  <c r="BW128" i="1"/>
  <c r="BW129" i="1"/>
  <c r="BW130" i="1"/>
  <c r="BW131" i="1"/>
  <c r="BW132" i="1"/>
  <c r="BW133" i="1"/>
  <c r="BW134" i="1"/>
  <c r="BW135" i="1"/>
  <c r="BW137" i="1"/>
  <c r="BW5" i="1"/>
  <c r="BU6" i="1"/>
  <c r="BU7" i="1"/>
  <c r="BU8" i="1"/>
  <c r="BU9" i="1"/>
  <c r="BU10" i="1"/>
  <c r="BU11" i="1"/>
  <c r="BU12" i="1"/>
  <c r="BU13" i="1"/>
  <c r="BU14" i="1"/>
  <c r="BU15" i="1"/>
  <c r="BU16" i="1"/>
  <c r="BU17" i="1"/>
  <c r="BU18" i="1"/>
  <c r="BU19" i="1"/>
  <c r="BU20" i="1"/>
  <c r="BU21" i="1"/>
  <c r="BU22" i="1"/>
  <c r="BU23" i="1"/>
  <c r="BU24" i="1"/>
  <c r="BU25" i="1"/>
  <c r="BU26" i="1"/>
  <c r="BU27" i="1"/>
  <c r="BU28" i="1"/>
  <c r="BU29" i="1"/>
  <c r="BU30" i="1"/>
  <c r="BU31" i="1"/>
  <c r="BU32" i="1"/>
  <c r="BU33" i="1"/>
  <c r="BU113" i="1"/>
  <c r="BU34" i="1"/>
  <c r="BU35" i="1"/>
  <c r="BU36" i="1"/>
  <c r="BU37" i="1"/>
  <c r="BU38" i="1"/>
  <c r="BU39" i="1"/>
  <c r="BU40" i="1"/>
  <c r="BU41" i="1"/>
  <c r="BU42" i="1"/>
  <c r="BU43" i="1"/>
  <c r="BU44" i="1"/>
  <c r="BU45" i="1"/>
  <c r="BU46" i="1"/>
  <c r="BU47" i="1"/>
  <c r="BU48" i="1"/>
  <c r="BU49" i="1"/>
  <c r="BU50" i="1"/>
  <c r="BU51" i="1"/>
  <c r="BU52" i="1"/>
  <c r="BU53" i="1"/>
  <c r="BU54" i="1"/>
  <c r="BU55" i="1"/>
  <c r="BU112" i="1"/>
  <c r="BU56" i="1"/>
  <c r="BU57" i="1"/>
  <c r="BU58" i="1"/>
  <c r="BU59" i="1"/>
  <c r="BU60" i="1"/>
  <c r="BU61" i="1"/>
  <c r="BU62" i="1"/>
  <c r="BU63" i="1"/>
  <c r="BU64" i="1"/>
  <c r="BU65" i="1"/>
  <c r="BU66" i="1"/>
  <c r="BU67" i="1"/>
  <c r="BU68" i="1"/>
  <c r="BU69" i="1"/>
  <c r="BU70" i="1"/>
  <c r="BU71" i="1"/>
  <c r="BU72" i="1"/>
  <c r="BU73" i="1"/>
  <c r="BU74" i="1"/>
  <c r="BU75" i="1"/>
  <c r="BU76" i="1"/>
  <c r="BU77" i="1"/>
  <c r="BU78" i="1"/>
  <c r="BU79" i="1"/>
  <c r="BU80" i="1"/>
  <c r="BU81" i="1"/>
  <c r="BU82" i="1"/>
  <c r="BU83" i="1"/>
  <c r="BU114" i="1"/>
  <c r="BU84" i="1"/>
  <c r="BU85" i="1"/>
  <c r="BU86" i="1"/>
  <c r="BU87" i="1"/>
  <c r="BU88" i="1"/>
  <c r="BU89" i="1"/>
  <c r="BU90" i="1"/>
  <c r="BU91" i="1"/>
  <c r="BU92" i="1"/>
  <c r="BU93" i="1"/>
  <c r="BU94" i="1"/>
  <c r="BU95" i="1"/>
  <c r="BU96" i="1"/>
  <c r="BU97" i="1"/>
  <c r="BU98" i="1"/>
  <c r="BU99" i="1"/>
  <c r="BU100" i="1"/>
  <c r="BU101" i="1"/>
  <c r="BU102" i="1"/>
  <c r="BU103" i="1"/>
  <c r="BU104" i="1"/>
  <c r="BU105" i="1"/>
  <c r="BU106" i="1"/>
  <c r="BU107" i="1"/>
  <c r="BU108" i="1"/>
  <c r="BU109" i="1"/>
  <c r="BU110" i="1"/>
  <c r="BU111" i="1"/>
  <c r="BU115" i="1"/>
  <c r="BU116" i="1"/>
  <c r="BU117" i="1"/>
  <c r="BU118" i="1"/>
  <c r="BU119" i="1"/>
  <c r="BU120" i="1"/>
  <c r="BU121" i="1"/>
  <c r="BU122" i="1"/>
  <c r="BU123" i="1"/>
  <c r="BU124" i="1"/>
  <c r="BU125" i="1"/>
  <c r="BU126" i="1"/>
  <c r="BU127" i="1"/>
  <c r="BU128" i="1"/>
  <c r="BU129" i="1"/>
  <c r="BU130" i="1"/>
  <c r="BU131" i="1"/>
  <c r="BU132" i="1"/>
  <c r="BU133" i="1"/>
  <c r="BU134" i="1"/>
  <c r="BU135" i="1"/>
  <c r="BU137" i="1"/>
  <c r="BU5" i="1"/>
  <c r="BS6" i="1"/>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113" i="1"/>
  <c r="BS34" i="1"/>
  <c r="BS35" i="1"/>
  <c r="BS36" i="1"/>
  <c r="BS37" i="1"/>
  <c r="BS38" i="1"/>
  <c r="BS39" i="1"/>
  <c r="BS40" i="1"/>
  <c r="BS41" i="1"/>
  <c r="BS42" i="1"/>
  <c r="BS43" i="1"/>
  <c r="BS44" i="1"/>
  <c r="BS45" i="1"/>
  <c r="BS46" i="1"/>
  <c r="BS47" i="1"/>
  <c r="BS48" i="1"/>
  <c r="BS49" i="1"/>
  <c r="BS50" i="1"/>
  <c r="BS51" i="1"/>
  <c r="BS52" i="1"/>
  <c r="BS53" i="1"/>
  <c r="BS54" i="1"/>
  <c r="BS55" i="1"/>
  <c r="BS112" i="1"/>
  <c r="BS56" i="1"/>
  <c r="BS57" i="1"/>
  <c r="BS58" i="1"/>
  <c r="BS59" i="1"/>
  <c r="BS60" i="1"/>
  <c r="BS61" i="1"/>
  <c r="BS62" i="1"/>
  <c r="BS63" i="1"/>
  <c r="BS64" i="1"/>
  <c r="BS65" i="1"/>
  <c r="BS66" i="1"/>
  <c r="BS67" i="1"/>
  <c r="BS68" i="1"/>
  <c r="BS69" i="1"/>
  <c r="BS70" i="1"/>
  <c r="BS71" i="1"/>
  <c r="BS72" i="1"/>
  <c r="BS73" i="1"/>
  <c r="BS74" i="1"/>
  <c r="BS75" i="1"/>
  <c r="BS76" i="1"/>
  <c r="BS77" i="1"/>
  <c r="BS78" i="1"/>
  <c r="BS79" i="1"/>
  <c r="BS80" i="1"/>
  <c r="BS81" i="1"/>
  <c r="BS82" i="1"/>
  <c r="BS83" i="1"/>
  <c r="BS114" i="1"/>
  <c r="BS84" i="1"/>
  <c r="BS85" i="1"/>
  <c r="BS86" i="1"/>
  <c r="BS87" i="1"/>
  <c r="BS88" i="1"/>
  <c r="BS89" i="1"/>
  <c r="BS90" i="1"/>
  <c r="BS91" i="1"/>
  <c r="BS92" i="1"/>
  <c r="BS93" i="1"/>
  <c r="BS94" i="1"/>
  <c r="BS95" i="1"/>
  <c r="BS96" i="1"/>
  <c r="BS97" i="1"/>
  <c r="BS98" i="1"/>
  <c r="BS99" i="1"/>
  <c r="BS100" i="1"/>
  <c r="BS101" i="1"/>
  <c r="BS102" i="1"/>
  <c r="BS103" i="1"/>
  <c r="BS104" i="1"/>
  <c r="BS105" i="1"/>
  <c r="BS106" i="1"/>
  <c r="BS107" i="1"/>
  <c r="BS108" i="1"/>
  <c r="BS109" i="1"/>
  <c r="BS110" i="1"/>
  <c r="BS111" i="1"/>
  <c r="BS115" i="1"/>
  <c r="BS116" i="1"/>
  <c r="BS117" i="1"/>
  <c r="BS118" i="1"/>
  <c r="BS119" i="1"/>
  <c r="BS120" i="1"/>
  <c r="BS121" i="1"/>
  <c r="BS122" i="1"/>
  <c r="BS123" i="1"/>
  <c r="BS124" i="1"/>
  <c r="BS125" i="1"/>
  <c r="BS126" i="1"/>
  <c r="BS127" i="1"/>
  <c r="BS128" i="1"/>
  <c r="BS129" i="1"/>
  <c r="BS130" i="1"/>
  <c r="BS131" i="1"/>
  <c r="BS132" i="1"/>
  <c r="BS133" i="1"/>
  <c r="BS134" i="1"/>
  <c r="BS135" i="1"/>
  <c r="BS137" i="1"/>
  <c r="BS5" i="1"/>
  <c r="BQ6" i="1"/>
  <c r="BQ7" i="1"/>
  <c r="BQ8" i="1"/>
  <c r="BQ9" i="1"/>
  <c r="BQ10" i="1"/>
  <c r="BQ11" i="1"/>
  <c r="BQ12" i="1"/>
  <c r="BQ13" i="1"/>
  <c r="BQ14" i="1"/>
  <c r="BQ15" i="1"/>
  <c r="BQ16" i="1"/>
  <c r="BQ17" i="1"/>
  <c r="BQ18" i="1"/>
  <c r="BQ19" i="1"/>
  <c r="BQ20" i="1"/>
  <c r="BQ21" i="1"/>
  <c r="BQ22" i="1"/>
  <c r="BQ23" i="1"/>
  <c r="BQ24" i="1"/>
  <c r="BQ25" i="1"/>
  <c r="BQ26" i="1"/>
  <c r="BQ27" i="1"/>
  <c r="BQ28" i="1"/>
  <c r="BQ29" i="1"/>
  <c r="BQ30" i="1"/>
  <c r="BQ31" i="1"/>
  <c r="BQ32" i="1"/>
  <c r="BQ33" i="1"/>
  <c r="BQ113" i="1"/>
  <c r="BQ34" i="1"/>
  <c r="BQ35" i="1"/>
  <c r="BQ36" i="1"/>
  <c r="BQ37" i="1"/>
  <c r="BQ38" i="1"/>
  <c r="BQ39" i="1"/>
  <c r="BQ40" i="1"/>
  <c r="BQ41" i="1"/>
  <c r="BQ42" i="1"/>
  <c r="BQ43" i="1"/>
  <c r="BQ44" i="1"/>
  <c r="BQ45" i="1"/>
  <c r="BQ46" i="1"/>
  <c r="BQ47" i="1"/>
  <c r="BQ48" i="1"/>
  <c r="BQ49" i="1"/>
  <c r="BQ50" i="1"/>
  <c r="BQ51" i="1"/>
  <c r="BQ52" i="1"/>
  <c r="BQ53" i="1"/>
  <c r="BQ54" i="1"/>
  <c r="BQ55" i="1"/>
  <c r="BQ112" i="1"/>
  <c r="BQ56" i="1"/>
  <c r="BQ57" i="1"/>
  <c r="BQ58" i="1"/>
  <c r="BQ59" i="1"/>
  <c r="BQ60" i="1"/>
  <c r="BQ61" i="1"/>
  <c r="BQ62" i="1"/>
  <c r="BQ63" i="1"/>
  <c r="BQ64" i="1"/>
  <c r="BQ65" i="1"/>
  <c r="BQ66" i="1"/>
  <c r="BQ67" i="1"/>
  <c r="BQ68" i="1"/>
  <c r="BQ69" i="1"/>
  <c r="BQ70" i="1"/>
  <c r="BQ71" i="1"/>
  <c r="BQ72" i="1"/>
  <c r="BQ73" i="1"/>
  <c r="BQ74" i="1"/>
  <c r="BQ75" i="1"/>
  <c r="BQ76" i="1"/>
  <c r="BQ77" i="1"/>
  <c r="BQ78" i="1"/>
  <c r="BQ79" i="1"/>
  <c r="BQ80" i="1"/>
  <c r="BQ81" i="1"/>
  <c r="BQ82" i="1"/>
  <c r="BQ83" i="1"/>
  <c r="BQ114" i="1"/>
  <c r="BQ84" i="1"/>
  <c r="BQ85" i="1"/>
  <c r="BQ86" i="1"/>
  <c r="BQ87" i="1"/>
  <c r="BQ88" i="1"/>
  <c r="BQ89" i="1"/>
  <c r="BQ90" i="1"/>
  <c r="BQ91" i="1"/>
  <c r="BQ92" i="1"/>
  <c r="BQ93" i="1"/>
  <c r="BQ94" i="1"/>
  <c r="BQ95" i="1"/>
  <c r="BQ96" i="1"/>
  <c r="BQ97" i="1"/>
  <c r="BQ98" i="1"/>
  <c r="BQ99" i="1"/>
  <c r="BQ100" i="1"/>
  <c r="BQ101" i="1"/>
  <c r="BQ102" i="1"/>
  <c r="BQ103" i="1"/>
  <c r="BQ104" i="1"/>
  <c r="BQ105" i="1"/>
  <c r="BQ106" i="1"/>
  <c r="BQ107" i="1"/>
  <c r="BQ108" i="1"/>
  <c r="BQ109" i="1"/>
  <c r="BQ110" i="1"/>
  <c r="BQ111" i="1"/>
  <c r="BQ115" i="1"/>
  <c r="BQ116" i="1"/>
  <c r="BQ117" i="1"/>
  <c r="BQ118" i="1"/>
  <c r="BQ119" i="1"/>
  <c r="BQ120" i="1"/>
  <c r="BQ121" i="1"/>
  <c r="BQ122" i="1"/>
  <c r="BQ123" i="1"/>
  <c r="BQ124" i="1"/>
  <c r="BQ125" i="1"/>
  <c r="BQ126" i="1"/>
  <c r="BQ127" i="1"/>
  <c r="BQ128" i="1"/>
  <c r="BQ129" i="1"/>
  <c r="BQ130" i="1"/>
  <c r="BQ131" i="1"/>
  <c r="BQ132" i="1"/>
  <c r="BQ133" i="1"/>
  <c r="BQ134" i="1"/>
  <c r="BQ135" i="1"/>
  <c r="BQ137" i="1"/>
  <c r="BQ5" i="1"/>
  <c r="BX138" i="1" l="1"/>
  <c r="E39" i="11" s="1"/>
  <c r="BP138" i="1"/>
  <c r="E35" i="11" s="1"/>
  <c r="BT138" i="1"/>
  <c r="E37" i="11" s="1"/>
  <c r="BR138" i="1"/>
  <c r="E36" i="11" s="1"/>
  <c r="BV138" i="1"/>
  <c r="E38" i="11" s="1"/>
  <c r="BZ138" i="1"/>
  <c r="E40" i="11" s="1"/>
  <c r="BO6" i="1"/>
  <c r="BO7"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113" i="1"/>
  <c r="BO34" i="1"/>
  <c r="BO35" i="1"/>
  <c r="BO36" i="1"/>
  <c r="BO37" i="1"/>
  <c r="BO38" i="1"/>
  <c r="BO39" i="1"/>
  <c r="BO40" i="1"/>
  <c r="BO41" i="1"/>
  <c r="BO42" i="1"/>
  <c r="BO43" i="1"/>
  <c r="BO44" i="1"/>
  <c r="BO45" i="1"/>
  <c r="BO46" i="1"/>
  <c r="BO47" i="1"/>
  <c r="BO48" i="1"/>
  <c r="BO49" i="1"/>
  <c r="BO50" i="1"/>
  <c r="BO51" i="1"/>
  <c r="BO52" i="1"/>
  <c r="BO53" i="1"/>
  <c r="BO54" i="1"/>
  <c r="BO55" i="1"/>
  <c r="BO112" i="1"/>
  <c r="BO56" i="1"/>
  <c r="BO57" i="1"/>
  <c r="BO58" i="1"/>
  <c r="BO59" i="1"/>
  <c r="BO60" i="1"/>
  <c r="BO61" i="1"/>
  <c r="BO62" i="1"/>
  <c r="BO63" i="1"/>
  <c r="BO64" i="1"/>
  <c r="BO65" i="1"/>
  <c r="BO66" i="1"/>
  <c r="BO67" i="1"/>
  <c r="BO68" i="1"/>
  <c r="BO69" i="1"/>
  <c r="BO70" i="1"/>
  <c r="BO71" i="1"/>
  <c r="BO72" i="1"/>
  <c r="BO73" i="1"/>
  <c r="BO74" i="1"/>
  <c r="BO75" i="1"/>
  <c r="BO76" i="1"/>
  <c r="BO77" i="1"/>
  <c r="BO78" i="1"/>
  <c r="BO79" i="1"/>
  <c r="BO80" i="1"/>
  <c r="BO81" i="1"/>
  <c r="BO82" i="1"/>
  <c r="BO83" i="1"/>
  <c r="BO114" i="1"/>
  <c r="BO84" i="1"/>
  <c r="BO85" i="1"/>
  <c r="BO86" i="1"/>
  <c r="BO87" i="1"/>
  <c r="BO88" i="1"/>
  <c r="BO89" i="1"/>
  <c r="BO90" i="1"/>
  <c r="BO91" i="1"/>
  <c r="BO92" i="1"/>
  <c r="BO93" i="1"/>
  <c r="BO94" i="1"/>
  <c r="BO95" i="1"/>
  <c r="BO96" i="1"/>
  <c r="BO97" i="1"/>
  <c r="BO98" i="1"/>
  <c r="BO99" i="1"/>
  <c r="BO100" i="1"/>
  <c r="BO101" i="1"/>
  <c r="BO102" i="1"/>
  <c r="BO103" i="1"/>
  <c r="BO104" i="1"/>
  <c r="BO105" i="1"/>
  <c r="BO106" i="1"/>
  <c r="BO107" i="1"/>
  <c r="BO108" i="1"/>
  <c r="BO109" i="1"/>
  <c r="BO110" i="1"/>
  <c r="BO111" i="1"/>
  <c r="BO115" i="1"/>
  <c r="BO116" i="1"/>
  <c r="BO117" i="1"/>
  <c r="BO118" i="1"/>
  <c r="BO119" i="1"/>
  <c r="BO120" i="1"/>
  <c r="BO121" i="1"/>
  <c r="BO122" i="1"/>
  <c r="BO123" i="1"/>
  <c r="BO124" i="1"/>
  <c r="BO125" i="1"/>
  <c r="BO126" i="1"/>
  <c r="BO127" i="1"/>
  <c r="BO128" i="1"/>
  <c r="BO129" i="1"/>
  <c r="BO130" i="1"/>
  <c r="BO131" i="1"/>
  <c r="BO132" i="1"/>
  <c r="BO133" i="1"/>
  <c r="BO134" i="1"/>
  <c r="BO135" i="1"/>
  <c r="BO137" i="1"/>
  <c r="BO5" i="1"/>
  <c r="BM6" i="1"/>
  <c r="BM7" i="1"/>
  <c r="BM8" i="1"/>
  <c r="BM9" i="1"/>
  <c r="BM10" i="1"/>
  <c r="BM11" i="1"/>
  <c r="BM12" i="1"/>
  <c r="BM13" i="1"/>
  <c r="BM14" i="1"/>
  <c r="BM15" i="1"/>
  <c r="BM16" i="1"/>
  <c r="BM17" i="1"/>
  <c r="BM18" i="1"/>
  <c r="BM19" i="1"/>
  <c r="BM20" i="1"/>
  <c r="BM21" i="1"/>
  <c r="BM22" i="1"/>
  <c r="BM23" i="1"/>
  <c r="BM24" i="1"/>
  <c r="BM25" i="1"/>
  <c r="BM26" i="1"/>
  <c r="BM27" i="1"/>
  <c r="BM28" i="1"/>
  <c r="BM29" i="1"/>
  <c r="BM30" i="1"/>
  <c r="BM31" i="1"/>
  <c r="BM32" i="1"/>
  <c r="BM33" i="1"/>
  <c r="BM113" i="1"/>
  <c r="BM34" i="1"/>
  <c r="BM35" i="1"/>
  <c r="BM36" i="1"/>
  <c r="BM37" i="1"/>
  <c r="BM38" i="1"/>
  <c r="BM39" i="1"/>
  <c r="BM40" i="1"/>
  <c r="BM41" i="1"/>
  <c r="BM42" i="1"/>
  <c r="BM43" i="1"/>
  <c r="BM44" i="1"/>
  <c r="BM45" i="1"/>
  <c r="BM46" i="1"/>
  <c r="BM47" i="1"/>
  <c r="BM48" i="1"/>
  <c r="BM49" i="1"/>
  <c r="BM50" i="1"/>
  <c r="BM51" i="1"/>
  <c r="BM52" i="1"/>
  <c r="BM53" i="1"/>
  <c r="BM54" i="1"/>
  <c r="BM55" i="1"/>
  <c r="BM112" i="1"/>
  <c r="BM56" i="1"/>
  <c r="BM57" i="1"/>
  <c r="BM58" i="1"/>
  <c r="BM59" i="1"/>
  <c r="BM60" i="1"/>
  <c r="BM61" i="1"/>
  <c r="BM62" i="1"/>
  <c r="BM63" i="1"/>
  <c r="BM64" i="1"/>
  <c r="BM65" i="1"/>
  <c r="BM66" i="1"/>
  <c r="BM67" i="1"/>
  <c r="BM68" i="1"/>
  <c r="BM69" i="1"/>
  <c r="BM70" i="1"/>
  <c r="BM71" i="1"/>
  <c r="BM72" i="1"/>
  <c r="BM73" i="1"/>
  <c r="BM74" i="1"/>
  <c r="BM75" i="1"/>
  <c r="BM76" i="1"/>
  <c r="BM77" i="1"/>
  <c r="BM78" i="1"/>
  <c r="BM79" i="1"/>
  <c r="BM80" i="1"/>
  <c r="BM81" i="1"/>
  <c r="BM82" i="1"/>
  <c r="BM83" i="1"/>
  <c r="BM114" i="1"/>
  <c r="BM84" i="1"/>
  <c r="BM85" i="1"/>
  <c r="BM86" i="1"/>
  <c r="BM87" i="1"/>
  <c r="BM88" i="1"/>
  <c r="BM89" i="1"/>
  <c r="BM90" i="1"/>
  <c r="BM91" i="1"/>
  <c r="BM92" i="1"/>
  <c r="BM93" i="1"/>
  <c r="BM94" i="1"/>
  <c r="BM95" i="1"/>
  <c r="BM96" i="1"/>
  <c r="BM97" i="1"/>
  <c r="BM98" i="1"/>
  <c r="BM99" i="1"/>
  <c r="BM100" i="1"/>
  <c r="BM101" i="1"/>
  <c r="BM102" i="1"/>
  <c r="BM103" i="1"/>
  <c r="BM104" i="1"/>
  <c r="BM105" i="1"/>
  <c r="BM106" i="1"/>
  <c r="BM107" i="1"/>
  <c r="BM108" i="1"/>
  <c r="BM109" i="1"/>
  <c r="BM110" i="1"/>
  <c r="BM111" i="1"/>
  <c r="BM115" i="1"/>
  <c r="BM116" i="1"/>
  <c r="BM117" i="1"/>
  <c r="BM118" i="1"/>
  <c r="BM119" i="1"/>
  <c r="BM120" i="1"/>
  <c r="BM121" i="1"/>
  <c r="BM122" i="1"/>
  <c r="BM123" i="1"/>
  <c r="BM124" i="1"/>
  <c r="BM125" i="1"/>
  <c r="BM126" i="1"/>
  <c r="BM127" i="1"/>
  <c r="BM128" i="1"/>
  <c r="BM129" i="1"/>
  <c r="BM130" i="1"/>
  <c r="BM131" i="1"/>
  <c r="BM132" i="1"/>
  <c r="BM133" i="1"/>
  <c r="BM134" i="1"/>
  <c r="BM135" i="1"/>
  <c r="BM137" i="1"/>
  <c r="BM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113" i="1"/>
  <c r="BK34" i="1"/>
  <c r="BK35" i="1"/>
  <c r="BK36" i="1"/>
  <c r="BK37" i="1"/>
  <c r="BK38" i="1"/>
  <c r="BK39" i="1"/>
  <c r="BK40" i="1"/>
  <c r="BK41" i="1"/>
  <c r="BK42" i="1"/>
  <c r="BK43" i="1"/>
  <c r="BK44" i="1"/>
  <c r="BK45" i="1"/>
  <c r="BK46" i="1"/>
  <c r="BK47" i="1"/>
  <c r="BK48" i="1"/>
  <c r="BK49" i="1"/>
  <c r="BK50" i="1"/>
  <c r="BK51" i="1"/>
  <c r="BK52" i="1"/>
  <c r="BK53" i="1"/>
  <c r="BK54" i="1"/>
  <c r="BK55" i="1"/>
  <c r="BK112"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114"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5" i="1"/>
  <c r="BK116" i="1"/>
  <c r="BK117" i="1"/>
  <c r="BK118" i="1"/>
  <c r="BK119" i="1"/>
  <c r="BK120" i="1"/>
  <c r="BK121" i="1"/>
  <c r="BK122" i="1"/>
  <c r="BK123" i="1"/>
  <c r="BK124" i="1"/>
  <c r="BK125" i="1"/>
  <c r="BK126" i="1"/>
  <c r="BK127" i="1"/>
  <c r="BK128" i="1"/>
  <c r="BK129" i="1"/>
  <c r="BK130" i="1"/>
  <c r="BK131" i="1"/>
  <c r="BK132" i="1"/>
  <c r="BK133" i="1"/>
  <c r="BK134" i="1"/>
  <c r="BK135" i="1"/>
  <c r="BK137" i="1"/>
  <c r="BK5" i="1"/>
  <c r="BI6" i="1"/>
  <c r="BI7" i="1"/>
  <c r="BI8" i="1"/>
  <c r="BI9" i="1"/>
  <c r="BI10" i="1"/>
  <c r="BI11" i="1"/>
  <c r="BI12" i="1"/>
  <c r="BI13" i="1"/>
  <c r="BI14" i="1"/>
  <c r="BI15" i="1"/>
  <c r="BI16" i="1"/>
  <c r="BI17" i="1"/>
  <c r="BI18" i="1"/>
  <c r="BI19" i="1"/>
  <c r="BI20" i="1"/>
  <c r="BI21" i="1"/>
  <c r="BI22" i="1"/>
  <c r="BI23" i="1"/>
  <c r="BI24" i="1"/>
  <c r="BI25" i="1"/>
  <c r="BI26" i="1"/>
  <c r="BI27" i="1"/>
  <c r="BI28" i="1"/>
  <c r="BI29" i="1"/>
  <c r="BI30" i="1"/>
  <c r="BI31" i="1"/>
  <c r="BI32" i="1"/>
  <c r="BI33" i="1"/>
  <c r="BI113" i="1"/>
  <c r="BI34" i="1"/>
  <c r="BI35" i="1"/>
  <c r="BI36" i="1"/>
  <c r="BI37" i="1"/>
  <c r="BI38" i="1"/>
  <c r="BI39" i="1"/>
  <c r="BI40" i="1"/>
  <c r="BI41" i="1"/>
  <c r="BI42" i="1"/>
  <c r="BI43" i="1"/>
  <c r="BI44" i="1"/>
  <c r="BI45" i="1"/>
  <c r="BI46" i="1"/>
  <c r="BI47" i="1"/>
  <c r="BI48" i="1"/>
  <c r="BI49" i="1"/>
  <c r="BI50" i="1"/>
  <c r="BI51" i="1"/>
  <c r="BI52" i="1"/>
  <c r="BI53" i="1"/>
  <c r="BI54" i="1"/>
  <c r="BI55" i="1"/>
  <c r="BI112" i="1"/>
  <c r="BI56" i="1"/>
  <c r="BI57" i="1"/>
  <c r="BI58" i="1"/>
  <c r="BI59" i="1"/>
  <c r="BI60" i="1"/>
  <c r="BI61" i="1"/>
  <c r="BI62" i="1"/>
  <c r="BI63" i="1"/>
  <c r="BI64" i="1"/>
  <c r="BI65" i="1"/>
  <c r="BI66" i="1"/>
  <c r="BI67" i="1"/>
  <c r="BI68" i="1"/>
  <c r="BI69" i="1"/>
  <c r="BI70" i="1"/>
  <c r="BI71" i="1"/>
  <c r="BI72" i="1"/>
  <c r="BI73" i="1"/>
  <c r="BI74" i="1"/>
  <c r="BI75" i="1"/>
  <c r="BI76" i="1"/>
  <c r="BI77" i="1"/>
  <c r="BI78" i="1"/>
  <c r="BI79" i="1"/>
  <c r="BI80" i="1"/>
  <c r="BI81" i="1"/>
  <c r="BI82" i="1"/>
  <c r="BI83" i="1"/>
  <c r="BI114" i="1"/>
  <c r="BI84" i="1"/>
  <c r="BI85" i="1"/>
  <c r="BI86" i="1"/>
  <c r="BI87" i="1"/>
  <c r="BI88" i="1"/>
  <c r="BI89" i="1"/>
  <c r="BI90" i="1"/>
  <c r="BI91" i="1"/>
  <c r="BI92" i="1"/>
  <c r="BI93" i="1"/>
  <c r="BI94" i="1"/>
  <c r="BI95" i="1"/>
  <c r="BI96" i="1"/>
  <c r="BI97" i="1"/>
  <c r="BI98" i="1"/>
  <c r="BI99" i="1"/>
  <c r="BI100" i="1"/>
  <c r="BI101" i="1"/>
  <c r="BI102" i="1"/>
  <c r="BI103" i="1"/>
  <c r="BI104" i="1"/>
  <c r="BI105" i="1"/>
  <c r="BI106" i="1"/>
  <c r="BI107" i="1"/>
  <c r="BI108" i="1"/>
  <c r="BI109" i="1"/>
  <c r="BI110" i="1"/>
  <c r="BI111" i="1"/>
  <c r="BI115" i="1"/>
  <c r="BI116" i="1"/>
  <c r="BI117" i="1"/>
  <c r="BI118" i="1"/>
  <c r="BI119" i="1"/>
  <c r="BI120" i="1"/>
  <c r="BI121" i="1"/>
  <c r="BI122" i="1"/>
  <c r="BI123" i="1"/>
  <c r="BI124" i="1"/>
  <c r="BI125" i="1"/>
  <c r="BI126" i="1"/>
  <c r="BI127" i="1"/>
  <c r="BI128" i="1"/>
  <c r="BI129" i="1"/>
  <c r="BI130" i="1"/>
  <c r="BI131" i="1"/>
  <c r="BI132" i="1"/>
  <c r="BI133" i="1"/>
  <c r="BI134" i="1"/>
  <c r="BI135" i="1"/>
  <c r="BI137" i="1"/>
  <c r="BI5" i="1"/>
  <c r="BG6"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113" i="1"/>
  <c r="BG34" i="1"/>
  <c r="BG35" i="1"/>
  <c r="BG36" i="1"/>
  <c r="BG37" i="1"/>
  <c r="BG38" i="1"/>
  <c r="BG39" i="1"/>
  <c r="BG40" i="1"/>
  <c r="BG41" i="1"/>
  <c r="BG42" i="1"/>
  <c r="BG43" i="1"/>
  <c r="BG44" i="1"/>
  <c r="BG45" i="1"/>
  <c r="BG46" i="1"/>
  <c r="BG47" i="1"/>
  <c r="BG48" i="1"/>
  <c r="BG49" i="1"/>
  <c r="BG50" i="1"/>
  <c r="BG51" i="1"/>
  <c r="BG52" i="1"/>
  <c r="BG53" i="1"/>
  <c r="BG54" i="1"/>
  <c r="BG55" i="1"/>
  <c r="BG112" i="1"/>
  <c r="BG56" i="1"/>
  <c r="BG57" i="1"/>
  <c r="BG58" i="1"/>
  <c r="BG59" i="1"/>
  <c r="BG60" i="1"/>
  <c r="BG61" i="1"/>
  <c r="BG62" i="1"/>
  <c r="BG63" i="1"/>
  <c r="BG64" i="1"/>
  <c r="BG65" i="1"/>
  <c r="BG66" i="1"/>
  <c r="BG67" i="1"/>
  <c r="BG68" i="1"/>
  <c r="BG69" i="1"/>
  <c r="BG70" i="1"/>
  <c r="BG71" i="1"/>
  <c r="BG72" i="1"/>
  <c r="BG73" i="1"/>
  <c r="BG74" i="1"/>
  <c r="BG75" i="1"/>
  <c r="BG76" i="1"/>
  <c r="BG77" i="1"/>
  <c r="BG78" i="1"/>
  <c r="BG79" i="1"/>
  <c r="BG80" i="1"/>
  <c r="BG81" i="1"/>
  <c r="BG82" i="1"/>
  <c r="BG83" i="1"/>
  <c r="BG114"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5" i="1"/>
  <c r="BG116" i="1"/>
  <c r="BG117" i="1"/>
  <c r="BG118" i="1"/>
  <c r="BG119" i="1"/>
  <c r="BG120" i="1"/>
  <c r="BG121" i="1"/>
  <c r="BG122" i="1"/>
  <c r="BG123" i="1"/>
  <c r="BG124" i="1"/>
  <c r="BG125" i="1"/>
  <c r="BG126" i="1"/>
  <c r="BG127" i="1"/>
  <c r="BG128" i="1"/>
  <c r="BG129" i="1"/>
  <c r="BG130" i="1"/>
  <c r="BG131" i="1"/>
  <c r="BG132" i="1"/>
  <c r="BG133" i="1"/>
  <c r="BG134" i="1"/>
  <c r="BG135" i="1"/>
  <c r="BG137" i="1"/>
  <c r="BG5" i="1"/>
  <c r="BE6" i="1"/>
  <c r="BE7" i="1"/>
  <c r="BE8" i="1"/>
  <c r="BE9" i="1"/>
  <c r="BE10" i="1"/>
  <c r="BE11" i="1"/>
  <c r="BE12" i="1"/>
  <c r="BE13" i="1"/>
  <c r="BE14" i="1"/>
  <c r="BE15" i="1"/>
  <c r="BE16" i="1"/>
  <c r="BE17" i="1"/>
  <c r="BE18" i="1"/>
  <c r="BE19" i="1"/>
  <c r="BE20" i="1"/>
  <c r="BE21" i="1"/>
  <c r="BE22" i="1"/>
  <c r="BE23" i="1"/>
  <c r="BE24" i="1"/>
  <c r="BE25" i="1"/>
  <c r="BE26" i="1"/>
  <c r="BE27" i="1"/>
  <c r="BE28" i="1"/>
  <c r="BE29" i="1"/>
  <c r="BE30" i="1"/>
  <c r="BE31" i="1"/>
  <c r="BE32" i="1"/>
  <c r="BE33" i="1"/>
  <c r="BE113" i="1"/>
  <c r="BE34" i="1"/>
  <c r="BE35" i="1"/>
  <c r="BE36" i="1"/>
  <c r="BE37" i="1"/>
  <c r="BE38" i="1"/>
  <c r="BE39" i="1"/>
  <c r="BE40" i="1"/>
  <c r="BE41" i="1"/>
  <c r="BE42" i="1"/>
  <c r="BE43" i="1"/>
  <c r="BE44" i="1"/>
  <c r="BE45" i="1"/>
  <c r="BE46" i="1"/>
  <c r="BE47" i="1"/>
  <c r="BE48" i="1"/>
  <c r="BE49" i="1"/>
  <c r="BE50" i="1"/>
  <c r="BE51" i="1"/>
  <c r="BE52" i="1"/>
  <c r="BE53" i="1"/>
  <c r="BE54" i="1"/>
  <c r="BE55" i="1"/>
  <c r="BE112"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114"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5" i="1"/>
  <c r="BE116" i="1"/>
  <c r="BE117" i="1"/>
  <c r="BE118" i="1"/>
  <c r="BE119" i="1"/>
  <c r="BE120" i="1"/>
  <c r="BE121" i="1"/>
  <c r="BE122" i="1"/>
  <c r="BE123" i="1"/>
  <c r="BE124" i="1"/>
  <c r="BE125" i="1"/>
  <c r="BE126" i="1"/>
  <c r="BE127" i="1"/>
  <c r="BE128" i="1"/>
  <c r="BE129" i="1"/>
  <c r="BE130" i="1"/>
  <c r="BE131" i="1"/>
  <c r="BE132" i="1"/>
  <c r="BE133" i="1"/>
  <c r="BE134" i="1"/>
  <c r="BE135" i="1"/>
  <c r="BE137" i="1"/>
  <c r="BE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113" i="1"/>
  <c r="BC34" i="1"/>
  <c r="BC35" i="1"/>
  <c r="BC36" i="1"/>
  <c r="BC37" i="1"/>
  <c r="BC38" i="1"/>
  <c r="BC39" i="1"/>
  <c r="BC40" i="1"/>
  <c r="BC41" i="1"/>
  <c r="BC42" i="1"/>
  <c r="BC43" i="1"/>
  <c r="BC44" i="1"/>
  <c r="BC45" i="1"/>
  <c r="BC46" i="1"/>
  <c r="BC47" i="1"/>
  <c r="BC48" i="1"/>
  <c r="BC49" i="1"/>
  <c r="BC50" i="1"/>
  <c r="BC51" i="1"/>
  <c r="BC52" i="1"/>
  <c r="BC53" i="1"/>
  <c r="BC54" i="1"/>
  <c r="BC55" i="1"/>
  <c r="BC112"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114"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5" i="1"/>
  <c r="BC116" i="1"/>
  <c r="BC117" i="1"/>
  <c r="BC118" i="1"/>
  <c r="BC119" i="1"/>
  <c r="BC120" i="1"/>
  <c r="BC121" i="1"/>
  <c r="BC122" i="1"/>
  <c r="BC123" i="1"/>
  <c r="BC124" i="1"/>
  <c r="BC125" i="1"/>
  <c r="BC126" i="1"/>
  <c r="BC127" i="1"/>
  <c r="BC128" i="1"/>
  <c r="BC129" i="1"/>
  <c r="BC130" i="1"/>
  <c r="BC131" i="1"/>
  <c r="BC132" i="1"/>
  <c r="BC133" i="1"/>
  <c r="BC134" i="1"/>
  <c r="BC135" i="1"/>
  <c r="BC137" i="1"/>
  <c r="BC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113" i="1"/>
  <c r="BA34" i="1"/>
  <c r="BA35" i="1"/>
  <c r="BA36" i="1"/>
  <c r="BA37" i="1"/>
  <c r="BA38" i="1"/>
  <c r="BA39" i="1"/>
  <c r="BA40" i="1"/>
  <c r="BA41" i="1"/>
  <c r="BA42" i="1"/>
  <c r="BA43" i="1"/>
  <c r="BA44" i="1"/>
  <c r="BA45" i="1"/>
  <c r="BA46" i="1"/>
  <c r="BA47" i="1"/>
  <c r="BA48" i="1"/>
  <c r="BA49" i="1"/>
  <c r="BA50" i="1"/>
  <c r="BA51" i="1"/>
  <c r="BA52" i="1"/>
  <c r="BA53" i="1"/>
  <c r="BA54" i="1"/>
  <c r="BA55" i="1"/>
  <c r="BA112"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114"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5" i="1"/>
  <c r="BA116" i="1"/>
  <c r="BA117" i="1"/>
  <c r="BA118" i="1"/>
  <c r="BA119" i="1"/>
  <c r="BA120" i="1"/>
  <c r="BA121" i="1"/>
  <c r="BA122" i="1"/>
  <c r="BA123" i="1"/>
  <c r="BA124" i="1"/>
  <c r="BA125" i="1"/>
  <c r="BA126" i="1"/>
  <c r="BA127" i="1"/>
  <c r="BA128" i="1"/>
  <c r="BA129" i="1"/>
  <c r="BA130" i="1"/>
  <c r="BA131" i="1"/>
  <c r="BA132" i="1"/>
  <c r="BA133" i="1"/>
  <c r="BA134" i="1"/>
  <c r="BA135" i="1"/>
  <c r="BA137" i="1"/>
  <c r="BA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113" i="1"/>
  <c r="AY34" i="1"/>
  <c r="AY35" i="1"/>
  <c r="AY36" i="1"/>
  <c r="AY37" i="1"/>
  <c r="AY38" i="1"/>
  <c r="AY39" i="1"/>
  <c r="AY40" i="1"/>
  <c r="AY41" i="1"/>
  <c r="AY42" i="1"/>
  <c r="AY43" i="1"/>
  <c r="AY44" i="1"/>
  <c r="AY45" i="1"/>
  <c r="AY46" i="1"/>
  <c r="AY47" i="1"/>
  <c r="AY48" i="1"/>
  <c r="AY49" i="1"/>
  <c r="AY50" i="1"/>
  <c r="AY51" i="1"/>
  <c r="AY52" i="1"/>
  <c r="AY53" i="1"/>
  <c r="AY54" i="1"/>
  <c r="AY55" i="1"/>
  <c r="AY112"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114"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5" i="1"/>
  <c r="AY116" i="1"/>
  <c r="AY117" i="1"/>
  <c r="AY118" i="1"/>
  <c r="AY119" i="1"/>
  <c r="AY120" i="1"/>
  <c r="AY121" i="1"/>
  <c r="AY122" i="1"/>
  <c r="AY123" i="1"/>
  <c r="AY124" i="1"/>
  <c r="AY125" i="1"/>
  <c r="AY126" i="1"/>
  <c r="AY127" i="1"/>
  <c r="AY128" i="1"/>
  <c r="AY129" i="1"/>
  <c r="AY130" i="1"/>
  <c r="AY131" i="1"/>
  <c r="AY132" i="1"/>
  <c r="AY133" i="1"/>
  <c r="AY134" i="1"/>
  <c r="AY135" i="1"/>
  <c r="AY137" i="1"/>
  <c r="AY5"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113" i="1"/>
  <c r="AW34" i="1"/>
  <c r="AW35" i="1"/>
  <c r="AW36" i="1"/>
  <c r="AW37" i="1"/>
  <c r="AW38" i="1"/>
  <c r="AW39" i="1"/>
  <c r="AW40" i="1"/>
  <c r="AW41" i="1"/>
  <c r="AW42" i="1"/>
  <c r="AW43" i="1"/>
  <c r="AW44" i="1"/>
  <c r="AW45" i="1"/>
  <c r="AW46" i="1"/>
  <c r="AW47" i="1"/>
  <c r="AW48" i="1"/>
  <c r="AW49" i="1"/>
  <c r="AW50" i="1"/>
  <c r="AW51" i="1"/>
  <c r="AW52" i="1"/>
  <c r="AW53" i="1"/>
  <c r="AW54" i="1"/>
  <c r="AW55" i="1"/>
  <c r="AW112"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114"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5" i="1"/>
  <c r="AW116" i="1"/>
  <c r="AW117" i="1"/>
  <c r="AW118" i="1"/>
  <c r="AW119" i="1"/>
  <c r="AW120" i="1"/>
  <c r="AW121" i="1"/>
  <c r="AW122" i="1"/>
  <c r="AW123" i="1"/>
  <c r="AW124" i="1"/>
  <c r="AW125" i="1"/>
  <c r="AW126" i="1"/>
  <c r="AW127" i="1"/>
  <c r="AW128" i="1"/>
  <c r="AW129" i="1"/>
  <c r="AW130" i="1"/>
  <c r="AW131" i="1"/>
  <c r="AW132" i="1"/>
  <c r="AW133" i="1"/>
  <c r="AW134" i="1"/>
  <c r="AW135" i="1"/>
  <c r="AW137" i="1"/>
  <c r="AW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113" i="1"/>
  <c r="AU34" i="1"/>
  <c r="AU35" i="1"/>
  <c r="AU36" i="1"/>
  <c r="AU37" i="1"/>
  <c r="AU38" i="1"/>
  <c r="AU39" i="1"/>
  <c r="AU40" i="1"/>
  <c r="AU41" i="1"/>
  <c r="AU42" i="1"/>
  <c r="AU43" i="1"/>
  <c r="AU44" i="1"/>
  <c r="AU45" i="1"/>
  <c r="AU46" i="1"/>
  <c r="AU47" i="1"/>
  <c r="AU48" i="1"/>
  <c r="AU49" i="1"/>
  <c r="AU50" i="1"/>
  <c r="AU51" i="1"/>
  <c r="AU52" i="1"/>
  <c r="AU53" i="1"/>
  <c r="AU54" i="1"/>
  <c r="AU55" i="1"/>
  <c r="AU112"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114"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5" i="1"/>
  <c r="AU116" i="1"/>
  <c r="AU117" i="1"/>
  <c r="AU118" i="1"/>
  <c r="AU119" i="1"/>
  <c r="AU120" i="1"/>
  <c r="AU121" i="1"/>
  <c r="AU122" i="1"/>
  <c r="AU123" i="1"/>
  <c r="AU124" i="1"/>
  <c r="AU125" i="1"/>
  <c r="AU126" i="1"/>
  <c r="AU127" i="1"/>
  <c r="AU128" i="1"/>
  <c r="AU129" i="1"/>
  <c r="AU130" i="1"/>
  <c r="AU131" i="1"/>
  <c r="AU132" i="1"/>
  <c r="AU133" i="1"/>
  <c r="AU134" i="1"/>
  <c r="AU135" i="1"/>
  <c r="AU137" i="1"/>
  <c r="AU5" i="1"/>
  <c r="AZ3" i="1"/>
  <c r="C27" i="11" s="1"/>
  <c r="D27" i="11" s="1"/>
  <c r="BZ3" i="1"/>
  <c r="C40" i="11" s="1"/>
  <c r="D40" i="11" s="1"/>
  <c r="H40" i="11" l="1"/>
  <c r="I40" i="11" s="1"/>
  <c r="AV138" i="1"/>
  <c r="E25" i="11" s="1"/>
  <c r="AX138" i="1"/>
  <c r="E26" i="11" s="1"/>
  <c r="BL138" i="1"/>
  <c r="E33" i="11" s="1"/>
  <c r="BJ138" i="1"/>
  <c r="E32" i="11" s="1"/>
  <c r="BN138" i="1"/>
  <c r="E34" i="11" s="1"/>
  <c r="BD138" i="1"/>
  <c r="E29" i="11" s="1"/>
  <c r="AZ138" i="1"/>
  <c r="E27" i="11" s="1"/>
  <c r="H27" i="11" s="1"/>
  <c r="I27" i="11" s="1"/>
  <c r="BH138" i="1"/>
  <c r="E31" i="11" s="1"/>
  <c r="BF138" i="1"/>
  <c r="E30" i="11" s="1"/>
  <c r="BB138" i="1"/>
  <c r="E28" i="11" s="1"/>
  <c r="H28" i="11" s="1"/>
  <c r="I28" i="11" s="1"/>
  <c r="AT138" i="1"/>
  <c r="E24" i="11" s="1"/>
  <c r="BT3" i="1"/>
  <c r="C37" i="11" s="1"/>
  <c r="D37" i="11" s="1"/>
  <c r="H37" i="11" s="1"/>
  <c r="I37" i="11" s="1"/>
  <c r="BJ3" i="1"/>
  <c r="C32" i="11" s="1"/>
  <c r="D32" i="11" s="1"/>
  <c r="BL3" i="1"/>
  <c r="C33" i="11" s="1"/>
  <c r="D33" i="11" s="1"/>
  <c r="BN3" i="1"/>
  <c r="C34" i="11" s="1"/>
  <c r="D34" i="11" s="1"/>
  <c r="BP3" i="1"/>
  <c r="C35" i="11" s="1"/>
  <c r="D35" i="11" s="1"/>
  <c r="H35" i="11" s="1"/>
  <c r="I35" i="11" s="1"/>
  <c r="BR3" i="1"/>
  <c r="C36" i="11" s="1"/>
  <c r="D36" i="11" s="1"/>
  <c r="H36" i="11" s="1"/>
  <c r="I36" i="11" s="1"/>
  <c r="BV3" i="1"/>
  <c r="C38" i="11" s="1"/>
  <c r="D38" i="11" s="1"/>
  <c r="H38" i="11" s="1"/>
  <c r="I38" i="11" s="1"/>
  <c r="BX3" i="1"/>
  <c r="C39" i="11" s="1"/>
  <c r="D39" i="11" s="1"/>
  <c r="H39" i="11" s="1"/>
  <c r="I39" i="11" s="1"/>
  <c r="BH3" i="1"/>
  <c r="C31" i="11" s="1"/>
  <c r="D31" i="11" s="1"/>
  <c r="BF3" i="1"/>
  <c r="C30" i="11" s="1"/>
  <c r="D30" i="11" s="1"/>
  <c r="BD3" i="1"/>
  <c r="C29" i="11" s="1"/>
  <c r="D29" i="11" s="1"/>
  <c r="AX3" i="1"/>
  <c r="C26" i="11" s="1"/>
  <c r="D26" i="11" s="1"/>
  <c r="AV3" i="1"/>
  <c r="C25" i="11" s="1"/>
  <c r="D25" i="11" s="1"/>
  <c r="AT3" i="1"/>
  <c r="C24" i="11" s="1"/>
  <c r="D24" i="11" s="1"/>
  <c r="H31" i="11" l="1"/>
  <c r="I31" i="11" s="1"/>
  <c r="H32" i="11"/>
  <c r="I32" i="11" s="1"/>
  <c r="H30" i="11"/>
  <c r="I30" i="11" s="1"/>
  <c r="H26" i="11"/>
  <c r="I26" i="11" s="1"/>
  <c r="H25" i="11"/>
  <c r="I25" i="11" s="1"/>
  <c r="H29" i="11"/>
  <c r="I29" i="11" s="1"/>
  <c r="H34" i="11"/>
  <c r="I34" i="11" s="1"/>
  <c r="H24" i="11"/>
  <c r="I24" i="11" s="1"/>
  <c r="H33" i="11"/>
  <c r="I33" i="11" s="1"/>
  <c r="H21" i="11" l="1"/>
  <c r="I21" i="11" s="1"/>
</calcChain>
</file>

<file path=xl/sharedStrings.xml><?xml version="1.0" encoding="utf-8"?>
<sst xmlns="http://schemas.openxmlformats.org/spreadsheetml/2006/main" count="7003" uniqueCount="542">
  <si>
    <t>Classificação</t>
  </si>
  <si>
    <t>D</t>
  </si>
  <si>
    <t>Desconhece</t>
  </si>
  <si>
    <t>B</t>
  </si>
  <si>
    <t>Bronze</t>
  </si>
  <si>
    <t>P</t>
  </si>
  <si>
    <t>Prata</t>
  </si>
  <si>
    <t>O</t>
  </si>
  <si>
    <t>Ouro</t>
  </si>
  <si>
    <t>Preceito</t>
  </si>
  <si>
    <t>Desejável</t>
  </si>
  <si>
    <t>Obrigatório</t>
  </si>
  <si>
    <t>Utilização</t>
  </si>
  <si>
    <t>A</t>
  </si>
  <si>
    <t>Aplicar</t>
  </si>
  <si>
    <t>I</t>
  </si>
  <si>
    <t>Ignorar</t>
  </si>
  <si>
    <t>N</t>
  </si>
  <si>
    <t>Não se Aplica</t>
  </si>
  <si>
    <t>CATEGORIA</t>
  </si>
  <si>
    <t>COMPETÊNCIAS</t>
  </si>
  <si>
    <t>Dev Trainee Backend</t>
  </si>
  <si>
    <t>Dev Júnior Backend</t>
  </si>
  <si>
    <t>Dev Pleno Backend</t>
  </si>
  <si>
    <t>Dev Sênior Backend</t>
  </si>
  <si>
    <t>Dev Trainee Frontend</t>
  </si>
  <si>
    <t>Dev Júnior Frontend</t>
  </si>
  <si>
    <t>Dev Pleno Frontend</t>
  </si>
  <si>
    <t>Dev Sênior Frontend</t>
  </si>
  <si>
    <t>Q.A. Trainee</t>
  </si>
  <si>
    <t>Q.A. Júnior</t>
  </si>
  <si>
    <t>Q.A. Pleno</t>
  </si>
  <si>
    <t>Q.A. Sênior</t>
  </si>
  <si>
    <t>Devops Trainee</t>
  </si>
  <si>
    <t>Devops Júnior</t>
  </si>
  <si>
    <t>Devops Pleno</t>
  </si>
  <si>
    <t>Devops Sênior</t>
  </si>
  <si>
    <t>Conceito</t>
  </si>
  <si>
    <t> </t>
  </si>
  <si>
    <t>Comportamentais</t>
  </si>
  <si>
    <t>Comunicação</t>
  </si>
  <si>
    <t>Confiança</t>
  </si>
  <si>
    <t>Desenvolvimento de Pessoas</t>
  </si>
  <si>
    <t>Comprometimento</t>
  </si>
  <si>
    <t>Protagonismo</t>
  </si>
  <si>
    <t>Compromisso com o Cliente</t>
  </si>
  <si>
    <t>Legenda:</t>
  </si>
  <si>
    <t>Símbolo</t>
  </si>
  <si>
    <t>Conceito Avaliação Desempenho</t>
  </si>
  <si>
    <t>Requer Melhoria</t>
  </si>
  <si>
    <t>Está no Caminho</t>
  </si>
  <si>
    <t>Mandou Bem</t>
  </si>
  <si>
    <t>Mandou Muito Bem</t>
  </si>
  <si>
    <t>Meta 2026</t>
  </si>
  <si>
    <t>Dev Backend</t>
  </si>
  <si>
    <t>Dev Frontend</t>
  </si>
  <si>
    <t>Q.A.</t>
  </si>
  <si>
    <t>Devops</t>
  </si>
  <si>
    <t>PAULO CORREIA CAMARGO JUNIOR</t>
  </si>
  <si>
    <t>MARCOS ADRIANO RIBEIRO LIMA</t>
  </si>
  <si>
    <t>BRUNA BRANCO</t>
  </si>
  <si>
    <t>EDIMILSON DA SILVA PEREIRA</t>
  </si>
  <si>
    <t>GUILHERME ZANELLA HUGEN</t>
  </si>
  <si>
    <t>RAFAEL ALDO SEROISKA</t>
  </si>
  <si>
    <t>WELLENGTON JOSE MACHADO</t>
  </si>
  <si>
    <t>CEDRICK QUADROS COSTA</t>
  </si>
  <si>
    <t>DAVI DOS SANTOS SILVA GONCALVES</t>
  </si>
  <si>
    <t>IGOR ALESSANDRO FORGHIERI</t>
  </si>
  <si>
    <t>MAURICIO DE SOUZA PERES</t>
  </si>
  <si>
    <t>DIEGO DE LIZ</t>
  </si>
  <si>
    <t>ADRIEL GOULART DE ABRANJO</t>
  </si>
  <si>
    <t>MATHEUS BECKHAUSER NUNES</t>
  </si>
  <si>
    <t>GILBERTO MOTA DE OLIVEIRA JUNIOR</t>
  </si>
  <si>
    <t>FELIPE HEIDEN MAINES</t>
  </si>
  <si>
    <t>JOÃO VITOR RODRIGUES DE MORAES</t>
  </si>
  <si>
    <t>Nível</t>
  </si>
  <si>
    <t>Atinge Meta 2026</t>
  </si>
  <si>
    <t>Não</t>
  </si>
  <si>
    <t>Dev</t>
  </si>
  <si>
    <t>MultiThread</t>
  </si>
  <si>
    <t>DDD (Domain Driven Design)</t>
  </si>
  <si>
    <t>Microsserviços</t>
  </si>
  <si>
    <t>Sistema de gerenciamento de Mensageria</t>
  </si>
  <si>
    <t>Desenvolvimento de Web API e RESTful API's (Swagger)</t>
  </si>
  <si>
    <t>Dapper</t>
  </si>
  <si>
    <t>Testes Integrados automatizados</t>
  </si>
  <si>
    <t>Code Review</t>
  </si>
  <si>
    <t>Geral</t>
  </si>
  <si>
    <t>Sonar: DepencyCheck</t>
  </si>
  <si>
    <t>Boas práticas de uso de Logs</t>
  </si>
  <si>
    <t>Padrões Clean Code</t>
  </si>
  <si>
    <t>Padrões de projeto de software utilizando SOLID</t>
  </si>
  <si>
    <t xml:space="preserve"> GIT</t>
  </si>
  <si>
    <t>Banco de dados Redis (Cache)</t>
  </si>
  <si>
    <t>C# no .net LTS última versão</t>
  </si>
  <si>
    <t>NUGET</t>
  </si>
  <si>
    <t>Mediator (Biblioteca)</t>
  </si>
  <si>
    <t>p</t>
  </si>
  <si>
    <t>Odata</t>
  </si>
  <si>
    <t>Entity Framework Core</t>
  </si>
  <si>
    <t>Ferramentas de Monitoramento ex: APP Insights ou Grafana</t>
  </si>
  <si>
    <t>Angular</t>
  </si>
  <si>
    <t>NDK/NDS</t>
  </si>
  <si>
    <t>Bootstrap, Flexbox e CSS</t>
  </si>
  <si>
    <t>NodeJS 16+</t>
  </si>
  <si>
    <t>TypeScript</t>
  </si>
  <si>
    <t>Gateway</t>
  </si>
  <si>
    <t>Publicação e Instalação do produto Plataforma Space</t>
  </si>
  <si>
    <t>Analisar e Estimar Demandas</t>
  </si>
  <si>
    <t>Gerar Documentação Técnica + Fluxograma + UML + APIARY</t>
  </si>
  <si>
    <t>Automatização de Builds TFS (Configuração e Criação)</t>
  </si>
  <si>
    <t>SQL para SQLServer (Criar Querys)</t>
  </si>
  <si>
    <t>Gerenciamento de banco de dados (Gerenciar). Ex: SQL SERVER MANAGMENT, Query Plan, Profiler</t>
  </si>
  <si>
    <t>Rabbit MQ (Message broker)</t>
  </si>
  <si>
    <t>Estruturas de arquivos TXT, XML e JSON</t>
  </si>
  <si>
    <t>Automatização de testes Frontend (Cypress)</t>
  </si>
  <si>
    <t>Desenvolvimento Seguro (WAF CSP e PenTest)</t>
  </si>
  <si>
    <t>Testes</t>
  </si>
  <si>
    <t>Logica de programação</t>
  </si>
  <si>
    <t>Fundamentos de Teste de Software</t>
  </si>
  <si>
    <t>IIS - Publicações/Utilizar/Configurações</t>
  </si>
  <si>
    <t>Framework de automação - K6</t>
  </si>
  <si>
    <t>Ferramenta de cybersegurança - Burp Suite</t>
  </si>
  <si>
    <t>Framework de escrita de testes - Cucumber</t>
  </si>
  <si>
    <t>Escritas de testes em Gherkin</t>
  </si>
  <si>
    <t>JS - JavaScript ( Automações )</t>
  </si>
  <si>
    <t>Pipelines - Releases</t>
  </si>
  <si>
    <t>Testes de API - FrontEnd</t>
  </si>
  <si>
    <t>Test Cases - Estratégias e Planos de testes</t>
  </si>
  <si>
    <t>KPI - Indicadores de Qualidade</t>
  </si>
  <si>
    <t>Testes Manuais</t>
  </si>
  <si>
    <t>Tipo de Testes (Caixa Branca, Caixa Preta, Performance, Regressivo, Exploratório, Segurança, Usabilidade)</t>
  </si>
  <si>
    <t>Alertmanager</t>
  </si>
  <si>
    <t>Análise de vulnerabilidades (Infraestrutura)</t>
  </si>
  <si>
    <t>Azure Automation</t>
  </si>
  <si>
    <t>Azure Cloud</t>
  </si>
  <si>
    <t>Azure Cost Management</t>
  </si>
  <si>
    <t>Azure DevOps/TFS</t>
  </si>
  <si>
    <t>Kubernetes</t>
  </si>
  <si>
    <t>Azure Deploy</t>
  </si>
  <si>
    <t>Azure Virtual Machine</t>
  </si>
  <si>
    <t>Bash</t>
  </si>
  <si>
    <t>Containers</t>
  </si>
  <si>
    <t>Docker Swarm</t>
  </si>
  <si>
    <t>ElasticSearch</t>
  </si>
  <si>
    <t>FinOps</t>
  </si>
  <si>
    <t>IDS / IPS / Firewall</t>
  </si>
  <si>
    <t>Kibana</t>
  </si>
  <si>
    <t>Estrutura de arquivo YAML</t>
  </si>
  <si>
    <t>NPM</t>
  </si>
  <si>
    <t>Observabilidade e Monitoramento (Teórico)</t>
  </si>
  <si>
    <t>PowerShell</t>
  </si>
  <si>
    <t>Prometheus</t>
  </si>
  <si>
    <t>Shell Script</t>
  </si>
  <si>
    <t>Reforma Tributária</t>
  </si>
  <si>
    <t>IA em Desenvolvimento</t>
  </si>
  <si>
    <t>Negócio</t>
  </si>
  <si>
    <t>Integração via APIv1</t>
  </si>
  <si>
    <t>Integração via APIv2</t>
  </si>
  <si>
    <t>Integração via Fiscal Client</t>
  </si>
  <si>
    <t>Integração via Integrator</t>
  </si>
  <si>
    <t>EDI</t>
  </si>
  <si>
    <t>NFS-e</t>
  </si>
  <si>
    <t>NFS-e - Regras de conversão (Tabela de Conversão)</t>
  </si>
  <si>
    <t>NFS-e - Relatórios (Nigéria)</t>
  </si>
  <si>
    <t>OCR - NFS-e</t>
  </si>
  <si>
    <t>NF-e</t>
  </si>
  <si>
    <t>CT-e</t>
  </si>
  <si>
    <t>MDF-e</t>
  </si>
  <si>
    <t>Contingência do e-Forms na Plataforma</t>
  </si>
  <si>
    <t>NFCom</t>
  </si>
  <si>
    <t>NF3e</t>
  </si>
  <si>
    <t>CTeOs</t>
  </si>
  <si>
    <t>GTVe</t>
  </si>
  <si>
    <t>Análise de Dados (PowerBI)</t>
  </si>
  <si>
    <t>Atores, Recepção, Eventos</t>
  </si>
  <si>
    <t>Rastreio N1</t>
  </si>
  <si>
    <t>Ocorrências</t>
  </si>
  <si>
    <t>Resumo Fiscal</t>
  </si>
  <si>
    <t>Template de Impressão (Jasper e Ghost Script)</t>
  </si>
  <si>
    <t>Auditor Fiscal</t>
  </si>
  <si>
    <t>Fluxo de e-mail (Automático, Manual, Parceiro de Negócio, B2B)</t>
  </si>
  <si>
    <t>Auditoria de Usuário</t>
  </si>
  <si>
    <t>Notificações</t>
  </si>
  <si>
    <t>Configurações (Parceito Negócio, Parceiro de Neogrid, Segregação de Dados de Usuário (Grupo de Empresa), Licença, Certificado e HSM)</t>
  </si>
  <si>
    <t>Ferramenta de Importação</t>
  </si>
  <si>
    <t>Autorecebimento</t>
  </si>
  <si>
    <t>NDD Identity/Polices</t>
  </si>
  <si>
    <t>NDD EmailEntryRouter</t>
  </si>
  <si>
    <t>ConnectUS</t>
  </si>
  <si>
    <t>Sim</t>
  </si>
  <si>
    <t>Análise de ferramentas DevSecOps</t>
  </si>
  <si>
    <t>Postman</t>
  </si>
  <si>
    <t>Ações (E-mail, Download, Relatórios, Enviar ao ERP, Reprocessamento, Visualizar PDF)</t>
  </si>
  <si>
    <t>Fluxo de Importação de Documentos para DEV</t>
  </si>
  <si>
    <t>DevOps</t>
  </si>
  <si>
    <t>Containers, Orquestração e Nuvem</t>
  </si>
  <si>
    <t>Transformação de documentos e integrações</t>
  </si>
  <si>
    <t>Portal e Configurações</t>
  </si>
  <si>
    <t>Integrator</t>
  </si>
  <si>
    <t>Ferramentas base para Testes (Windows Server / SQL / IIS / Certificados)</t>
  </si>
  <si>
    <t>Configuração de Builds e Versionamento de Componetes / Nuget</t>
  </si>
  <si>
    <t>Bilhetagem</t>
  </si>
  <si>
    <t>Fluxo de e-mail automático</t>
  </si>
  <si>
    <t>Transformações</t>
  </si>
  <si>
    <t>Integrações em Geral</t>
  </si>
  <si>
    <t>Host Settings</t>
  </si>
  <si>
    <t>Contigencia em Geral</t>
  </si>
  <si>
    <t>KeyCloak</t>
  </si>
  <si>
    <t>API Cadastro</t>
  </si>
  <si>
    <t>Recepção de Documentos (EDI e OCR, EmailEntry, DFe)</t>
  </si>
  <si>
    <t>Herança por Empresa e Grupo Empresa</t>
  </si>
  <si>
    <t>NFCom Cofaturamento</t>
  </si>
  <si>
    <t>Rede para Testes (Firewall / DNS / WAF / VPN / Windows / CSP)</t>
  </si>
  <si>
    <t>Segurança / Sonar / Dojo / Dependency Track / Dependency Check / NDE</t>
  </si>
  <si>
    <t>Avaliação de PR (Políticas de PR)</t>
  </si>
  <si>
    <t>Topologia do sistema</t>
  </si>
  <si>
    <t>Volumetria</t>
  </si>
  <si>
    <t>Quantidade Competêcias / Obrigatórias Meta:</t>
  </si>
  <si>
    <t>GAPS:</t>
  </si>
  <si>
    <t>Competência</t>
  </si>
  <si>
    <t>Compreende os conceitos básicos de concorrência e paralelismo.
Sabe a diferença entre threads, processos e async programming.
Já estudou sobre problemas comuns como deadlocks, race conditions e starvation.
Consegue identificar quando MultiThreading pode ser útil em um sistema.</t>
  </si>
  <si>
    <t>Aplica MultiThreading em funcionalidades do backend quando necessário.
Sabe utilizar ferramentas nativas da linguagem (ex.: Threads, Task, Goroutines).
Implementa soluções que evitam deadlocks e race conditions.
Garante a correta sincronização entre threads usando locks, semáforos e outras técnicas.
Faz uso de estruturas de dados thread-safe e modelos como actor model para evitar problemas de concorrência.</t>
  </si>
  <si>
    <t>Possui profundo conhecimento sobre concorrência e paralelismo, incluindo modelos de execução e escalabilidade.
Sabe otimizar a performance do backend aplicando estratégias avançadas de concorrência.
Consegue identificar bottlenecks e otimizar código para melhor uso de CPU e memória.
Atua como referência técnica dentro do time e pode ministrar treinamentos sobre o tema.
Já lidou com problemas complexos relacionados à sincronização, pools de threads e concorrência distribuída.</t>
  </si>
  <si>
    <t>Entende os conceitos básicos do DDD e sua importância no desenvolvimento de software.
Conhece e consegue explicar termos como Entidade, Value Object, Aggregate, Repository e Service.
Consegue identificar cenários onde a modelagem baseada em domínio faz sentido.
Sabe diferenciar camadas de aplicação, domínio e infraestrutura dentro de um projeto.</t>
  </si>
  <si>
    <t>Implementa conceitos de DDD em seus projetos, garantindo uma boa modelagem de domínio.
Aplica princípios SOLID para manter um código modular e bem organizado.
Sabe quando usar Entities vs. Value Objects e define corretamente Bounded Contexts.
Utiliza Repositories e Domain Services para encapsular regras de negócio.
Garante que a camada de domínio seja independente de detalhes de infraestrutura.</t>
  </si>
  <si>
    <t>Possui domínio avançado de DDD, incluindo Event Sourcing e Domain Events.
Atua como referência técnica e auxilia outros desenvolvedores na modelagem do domínio.
Consegue identificar inconsistências no design de um sistema e propor melhorias estruturais. Ex Projeto template
Tem experiência prática na separação de Bounded Contexts e na aplicação de anti-corruption layers.
Ministra treinamentos e workshops sobre modelagem de domínio e boas práticas de DDD.</t>
  </si>
  <si>
    <t>Entende os conceitos fundamentais de Microsserviços e como diferem de uma arquitetura monolítica.
Sabe a importância da comunicação assíncrona e o porque do uso de um Broker de mensagens (ex.: Kafka, RabbitMQ).
Compreende de forma teórica os desafios comuns de distribuição, escalabilidade e monitoramento em microsserviços.</t>
  </si>
  <si>
    <t>Desenvolve e mantém microsserviços independentes, garantindo baixo acoplamento e alta coesão.
Implementa comunicação entre serviços usando REST APIs e Mensageria conforme a necessidade do negócio.
Sabe lidar com problemas de consistência eventual, versionamento de APIs e tolerância a falhas.
Aplica boas práticas como observabilidade, logging centralizado e tracing distribuído.</t>
  </si>
  <si>
    <t>Possui experiência avançada em arquitetura de microsserviços e padrões como Event-Driven Architecture, Saga.
Atua como referência técnica no time e auxilia na definição da arquitetura dos serviços.
Sabe otimizar a performance e resiliência dos microsserviços, evitando gargalos comuns.
Tem experiência prática na orquestração e coreografia de microsserviços, garantindo um fluxo eficiente de dados.
Consegue ministrar treinamentos sobre boas práticas, segurança e monitoramento em ambientes distribuídos.</t>
  </si>
  <si>
    <t>Compreende o conceito de mensageria ex: (NSB, Masstransit, Rebus, etc) e sua importância para sistemas distribuídos.
Conhece a diferença entre comunicação síncrona (REST) e assíncrona (mensageria).
Sabe explicar o funcionamento básico de fila de mensagens, tópicos e pub/sub.
Já estudou tecnologias como RabbitMQ, Kafka, SQS ou outros sistemas de mensageria.</t>
  </si>
  <si>
    <t>Implementa soluções utilizando mensageria ex: (NSB, Masstransit, Rebus, etc) para comunicação entre serviços.
Configura e utiliza brokers de mensagens para garantir resiliência e escalabilidade.
Aplica padrões como retry, dead-letter queue e event-driven architecture.
Sabe lidar com problemas de concorrência, idempotência e ordenação de mensagens.</t>
  </si>
  <si>
    <t xml:space="preserve">Atua como referência técnica em arquitetura orientada a eventos e mensageria distribuída.
Possui experiência avançada com otimização de throughput, latência e escalabilidade em sistemas de mensageria.
Implementa estratégias avançadas, como event sourcing, sagas e coreografia de eventos.
Conhece profundamente a configuração, tunning e segurança dos principais brokers de mensagens.
Ministra treinamentos e auxilia na definição das melhores práticas de mensageria no time.
</t>
  </si>
  <si>
    <t>Compreende os conceitos básicos de Web APIs e o funcionamento do protocolo HTTP.
Sabe a diferença entre RESTful APIs e SOAP.
Conhece os métodos HTTP e suas finalidades (GET, POST, PUT, DELETE, PATCH).
Já estudou sobre Swagger/OpenAPI e entende sua importância na documentação de APIs.
Consegue consumir APIs externas utilizando ferramentas como Postman ou cURL.</t>
  </si>
  <si>
    <t>Desenvolve APIs RESTful bem estruturadas, aplicando boas práticas de design.
Implementa corretamente status codes HTTP, headers, versionamento e autenticação (JWT, OAuth).
Configura e utiliza Swagger/OpenAPI para documentar APIs de forma clara e acessível.
Sabe lidar com paginação, cache, rate limiting e monitoramento de APIs.
Aplica princípios como Idempotência.</t>
  </si>
  <si>
    <t>Atua como referência técnica em design e arquitetura de APIs.
Conhece profundamente padrões como GraphQL, gRPC e RESTful avançado.
Implementa estratégias avançadas de segurança, versionamento e escalabilidade para APIs públicas e privadas.
Possui experiência prática em testes automatizados de APIs (Contract Testing, Postman, Newman, Pact, etc.).
Ministra treinamentos sobre boas práticas e padrões para desenvolvimento e documentação de APIs.</t>
  </si>
  <si>
    <t>Compreende o básico sobre ORM (Object-Relational Mapping) e como o Dapper se encaixa nesse contexto.
Sabe como executar consultas simples com Dapper, como SELECT, INSERT, UPDATE e DELETE.
Consegue configurar e integrar o Dapper em um projeto, realizando operações de banco de dados.</t>
  </si>
  <si>
    <t>Utiliza Dapper no dia a dia para otimizar o acesso e manipulação de dados em projetos.
Lida com mapeamento de objetos de forma eficiente, evitando erros comuns de SQL injection e segurança de dados.
Consegue usar Dapper em conjunto com outras tecnologias, como ASP.NET Core ou SQL Server.</t>
  </si>
  <si>
    <t>Tem um domínio profundo do Dapper, incluindo consultas complexas, caching e otimização de desempenho.
Sabe integrar o Dapper com outras tecnologias como microserviços, CQRS e Event Sourcing.
Consegue identificar e resolver problemas de performance relacionados a consultas SQL, utilizando técnicas avançadas de query optimization.
Atua como referência técnica, podendo fornecer treinamentos e mentorias sobre o uso de Dapper em projetos de alta escala.
Tem experiência na integração do Dapper com bancos de dados NoSQL e arquitetura distribuída.</t>
  </si>
  <si>
    <t>Compreende o conceito de testes integrados e sua importância para garantir que diferentes componentes de um sistema funcionem bem juntos.
Conhece os tipos básicos de testes automatizados, como unitários, integrados e end-to-end.
Sabe utilizar ferramentas e frameworks básicos para testes integrados automatizados, como JUnit, NUnit, Mocha, Jest, entre outros.
Entende como mockar dependências externas e realizar simulações para testar interações entre componentes.</t>
  </si>
  <si>
    <t>Implementa testes integrados automatizados regularmente, garantindo que múltiplos sistemas, módulos ou serviços interajam corretamente.
Utiliza ferramentas específicas para testes integrados, como Postman, JUnit, TestContainers (para backend) e Cypress, Selenium (para frontend).
Desenvolve e executa testes que envolvem bancos de dados, filas de mensagens, APIs externas e microserviços.
Consegue identificar e corrigir falhas nos testes de integração, aplicando boas práticas de isolamento, dados consistentes e sincronização.
Integra testes automatizados ao pipeline de CI/CD, garantindo que a validação ocorra de forma contínua.</t>
  </si>
  <si>
    <t>Tem um profundo entendimento de estratégias avançadas de testes integrados, incluindo testes end-to-end, de integração com APIs e sistemas distribuídos.
Otimiza os testes de integração automatizados para garantir desempenho, cobertura e confiabilidade.
Consegue configurar e gerenciar ambientes de teste complexos, como testes em ambientes Dockerizados ou Kubernetes.
Sabe como simular falhas e testar a resiliência de sistemas interconectados em cenários de produção.
Atua como referência técnica, proporcionando treinamentos e mentorias sobre como criar uma estratégia de testes integrada eficiente.</t>
  </si>
  <si>
    <t>Compreende a importância do code review como prática para garantir qualidade de código e compartilhar conhecimento.
Consegue realizar revisões de código simples, verificando erros sintáticos, estilo de código e boas práticas básicas.
Sabe utilizar ferramentas de code review, como GitHub, GitLab ou Azure Devops, para revisar Pull Requests (PRs).
Está familiarizado com a documentação de comentários construtivos, identificando pontos de melhoria no código de forma educada e objetiva.</t>
  </si>
  <si>
    <t>Realiza code reviews regulares, garantindo que o código seja eficiente, legível e mantenha padrões de qualidade.
Verifica a manutenibilidade do código, sugerindo melhorias para performance, segurança e estrutura.
Avalia e sugere refatorações, garantindo que o código siga práticas recomendadas de design de software (como SOLID e DRY).
Sabe como avaliar e gerenciar a cobertura de testes nos PRs, garantindo que o código novo não quebre funcionalidades existentes.
Consegue fornecer feedback construtivo e detalhado, ajudando a elevar o nível técnico da equipe e garantindo a qualidade do código a longo prazo.</t>
  </si>
  <si>
    <t xml:space="preserve">Possui uma compreensão profunda de estratégias de code review, incluindo como revisar arquitetura de sistemas, design patterns e decisões técnicas complexas.
Atua como referência no time para melhorias contínuas no processo de revisão de código, garantindo que as revisões sejam rápidas, eficazes e educativas.
Introduz e aplica ferramentas de automação, como linters, formatadores de código, analisadores estáticos e CI/CD para revisão contínua.
Treina e orienta a equipe sobre feedbacks eficazes e construtivos, promovendo uma cultura de colaboração e aprendizagem contínua.
Contribui para a definição de diretrizes e padrões de código do time, garantindo que todos sigam um padrão consistente e de alta qualidade.
</t>
  </si>
  <si>
    <t>Compreende o conceito de DependencyCheck e sua importância na identificação de vulnerabilidades nas dependências de projetos.
Sabe configurar e usar a ferramenta SonarQube com o plugin DependencyCheck para escanear dependências de bibliotecas em busca de falhas de segurança.
Entende os relatórios gerados pelo SonarQube relacionados ao DependencyCheck, como as vulnerabilidades de segurança encontradas nas dependências.
Está familiarizado com a importância de manter as dependências atualizadas para reduzir riscos de segurança no código.</t>
  </si>
  <si>
    <t>Realiza scan de dependências automaticamente no pipeline de CI/CD utilizando o Sonar: DependencyCheck para verificar vulnerabilidades.
Identifica e prioriza as vulnerabilidades críticas de dependências, seguindo as recomendações da ferramenta para mitigar riscos de segurança.
Consegue interpretar relatórios do SonarQube e aplicar correções nas dependências vulneráveis.
Trabalha ativamente para garantir que o código da equipe esteja livre de dependências desatualizadas ou inseguras, realizando atualizações proativas nas bibliotecas e pacotes utilizados.
Participa da definição e implementação de políticas de segurança relacionadas a dependências em projetos de software.</t>
  </si>
  <si>
    <t>Tem um domínio avançado sobre Sonar: DependencyCheck, integrando a ferramenta em diferentes fluxos de trabalho, desde pipelines de CI/CD até ambientes de produção.
Atua como referência técnica em gerenciamento de vulnerabilidades de dependências, auxiliando equipes a implementar práticas de segurança proativa e contínua no ciclo de vida do software.
Possui experiência na configuração avançada do SonarQube para gerar relatórios personalizados e alertas sobre vulnerabilidades em tempo real.
Ministra treinamentos sobre boas práticas de segurança e como utilizar Sonar: DependencyCheck para manter as dependências seguras e atualizadas.
Trabalha com times multidisciplinares (DevOps, Q.A., Devs) para estabelecer estratégias de correção e mitigação das vulnerabilidades de segurança identificadas nas dependências.</t>
  </si>
  <si>
    <t>Compreende a importância de logs para monitoramento, depuração e auditoria de sistemas.
Entende os níveis de log comuns, como INFO, DEBUG, WARN, ERROR e FATAL.
Sabe configurar e gerar logs básicos nas ferramentas e bibliotecas mais comuns de logging, como Log4j, NLog, Winston, Serilog, console.log (para Frontend), entre outras.
Consegue revisar logs para identificar erros e entender o comportamento básico do sistema.</t>
  </si>
  <si>
    <t>Segue boas práticas de log de erros e eventos em sistemas de produção, garantindo que informações relevantes sejam registradas.
Utiliza ferramentas de logging como ELK Stack (Elasticsearch, Logstash, Kibana) ou outra técnologia, para centralizar e analisar logs de forma eficiente.
Implementa logs estruturados, garantindo que as entradas de log sejam legíveis, consistentes e facilmente pesquisáveis.
Adota práticas de filtragem e mascaramento de informações sensíveis nos logs (ex: dados pessoais ou informações de autenticação).
Integra os logs ao monitoramento proativo, para garantir que o sistema seja observado e falhas sejam detectadas de forma rápida e eficaz.
Realiza logs em diferentes partes do sistema, como requisições de API, interações de frontend, ações críticas no backend.</t>
  </si>
  <si>
    <t>Atua como referência técnica em estratégias de logging e monitoramento para equipes de backend e frontend.
Desenvolve e implementa políticas de logging e auditoria no time, estabelecendo padrões globais e métricas de qualidade para logs.
Consegue projetar sistemas de logging distribuídos e escaláveis, utilizando técnicas avançadas de agregação de logs, monitoramento em tempo real e alertas automáticos.
Conhece e aplica práticas de log rotation, armazenamento eficiente e gerenciamento de grandes volumes de logs.
Ministra treinamentos sobre como interpretar logs e usar ferramentas de análise para diagnóstico rápido de problemas.
Contribui para a cultura de observabilidade dentro da equipe e organiza treinamentos para disseminar boas práticas de logging.</t>
  </si>
  <si>
    <t>Tem noções básicas dos princípios do Clean Code, como legibilidade, simplicidade e manutenibilidade do código.
Compreende a importância de nomes de variáveis e funções claros e significativos.
Sabe evitar código duplicado e entende a importância de manter a coerência de estilo no código.
Está familiarizado com algumas das principais práticas de formatação de código, como indentação consistente e uso de espaços em branco.
Sabe aplicar práticas como a separação de responsabilidades em funções e classes menores.</t>
  </si>
  <si>
    <t>Aplica de forma consistente os princípios de Clean Code nas suas entregas, garantindo que o código seja fácil de ler, entender e manter.
Refatora o código de forma contínua, visando eliminar repetições, melhorar legibilidade e garantir boas práticas de design.
Adota práticas de nomes intuitivos e funções curtas.
Organiza o código em arquiteturas simples e bem estruturadas, com responsabilidades claras para cada componente.
Segue padrões de formatação de código e revisa o código de outros membros da equipe, aplicando feedback sobre a aderência aos princípios de Clean Code.
Evita complexidade desnecessária, optando por soluções simples e evitando o uso excessivo de abstrações.</t>
  </si>
  <si>
    <t>Possui um conhecimento profundo dos princípios de Clean Code e é capaz de aplicar e ensinar padrões avançados de código limpo em diferentes contextos (backend e frontend).
Refatora e reestrutura sistemas legados para garantir que sigam os princípios de Clean Code, melhorando a manutenibilidade e a performance.
Atua como líder técnico, promovendo e aplicando boas práticas de Clean Code em todo o time, com foco em qualidade de software e desenvolvimento sustentável.
É capaz de guiar e mentorizar outros desenvolvedores na aplicação de práticas de refatoração e na redução da dívida técnica.
Contribui para a definição de padrões de codificação e participa da criação de guidelines de código limpo para toda a equipe.
Realiza code reviews aprofundados, com foco na aderência a padrões de Clean Code, fornecendo feedback detalhado e construtivo.</t>
  </si>
  <si>
    <t>Conhece o conceito de SOLID (Single Responsibility Principle, Open/Closed Principle, Liskov Substitution Principle, Interface Segregation Principle e Dependency Inversion Principle) e sua importância no design de software.
Entende os conceitos básicos de encapsulamento e modularização de código, e como aplicá-los em situações simples.
Está familiarizado com a ideia de que SOLID ajuda a criar código mais flexível e manutenível.
Começa a aplicar os princípios SOLID de forma isolada em projetos ou trechos de código, com orientação ou em tarefas específicas.</t>
  </si>
  <si>
    <t>Aplica os princípios SOLID em grandes partes do sistema, garantindo que o código seja fácil de estender, modificar e manter.
Usa o Single Responsibility Principle (SRP) para garantir que cada classe ou módulo tenha apenas uma responsabilidade, melhorando a legibilidade e a testabilidade.
Aplica o Open/Closed Principle (OCP), projetando sistemas que são abertos para extensão e fechados para modificação, facilitando futuras alterações.
Utiliza o Liskov Substitution Principle (LSP) para garantir que as subclasses possam ser utilizadas sem alterar o comportamento esperado das classes base.
Segue o Interface Segregation Principle (ISP), criando interfaces menores e mais específicas para evitar dependências desnecessárias.
Aplica o Dependency Inversion Principle (DIP), projetando sistemas que dependem de abstrações e não de implementações concretas, melhorando a flexibilidade e a testabilidade.
Consegue identificar pontos do código que não seguem os princípios SOLID e refatorá-los para melhorar a estrutura do sistema.</t>
  </si>
  <si>
    <t>É especialista em aplicar SOLID em arquiteturas complexas de sistemas, tanto no backend quanto no frontend, garantindo flexibilidade e manutenibilidade ao longo do tempo.
Ensina e orienta outros desenvolvedores sobre como aplicar padrões SOLID de forma eficaz, abordando cenários e exemplos práticos em diversos tipos de sistemas.
Refatora e otimiza códigos legados ou mal estruturados, utilizando SOLID para transformar a base de código em um sistema mais coeso, desacoplado e facilmente testável.
Avalia e ajuda a definir arquiteturas de software de alto nível utilizando SOLID, considerando a escabilidade e sustentabilidade do código a longo prazo.
Realiza code reviews focados em SOLID, oferecendo feedback técnico profundo sobre como aplicar os princípios de forma otimizada e correta.
Trabalha com a equipe para evitar a dívida técnica relacionada a falta de aplicação de SOLID, promovendo a aplicação contínua desses princípios para garantir código de qualidade.</t>
  </si>
  <si>
    <t>GIT</t>
  </si>
  <si>
    <t>Compreende o funcionamento básico do Git, como criar repositórios, fazer commits, push e pull.
Sabe como clonar repositórios e realizar merge de branches de forma simples, seguindo as orientações básicas.
Está familiarizado com a utilização de branching models simples, como o uso de branch principal (ex: main, master) e branch de desenvolvimento.
Compreende a importância de commit messages claras e a necessidade de realizar commits frequentes.</t>
  </si>
  <si>
    <t>Utiliza o Git de forma consistente no fluxo de desenvolvimento diário, realizando operações como branching, merging, rebasing e resolução de conflitos com facilidade.
Trabalha com branches de funcionalidade, hotfixes, release e outros tipos de branch para garantir o gerenciamento eficiente de versões e funcionalidades.
Usa tags para marcar versões específicas de software e releases importantes.
Realiza pull requests (ou merge requests) e revisa o código de outros, buscando garantir a qualidade do código e conflitos de merge.
Colabora efetivamente no controle de versões distribuído, fazendo uso das ferramentas para colaborar com diferentes membros da equipe de forma eficiente e controlada.
Conhece e utiliza estratégias de merge para integrar mudanças sem perder histórico de versões.
Adota boas práticas de commit messages, sendo claro e objetivo ao descrever as alterações realizadas.</t>
  </si>
  <si>
    <t>Possui um domínio avançado de Git, utilizando técnicas complexas de branching e merge/rebase para gerenciar o código de maneira eficiente e sem perda de histórico.
Trabalha com Git Flow ou outros modelos de branching complexos, adaptando-os às necessidades do time e do projeto.
Automatiza e integra Git em pipelines de CI/CD, garantindo que os processos de deploy e testes sejam realizados sem interrupções.
Resolve conflitos complexos de merge de forma rápida e eficaz, mantendo a integridade do código e evitando erros no processo.
Ensina boas práticas de uso do Git para novos membros da equipe e contribui para a definição de estratégias de controle de versão em nível organizacional.
Realiza mentoria sobre o uso avançado de Git e suas melhores práticas, garantindo que todos os membros da equipe sigam o fluxo adequado de versionamento e integração de código.
Implementa estratégias de branch para equipes grandes, garantindo um fluxo de trabalho eficiente e sem conflitos.</t>
  </si>
  <si>
    <t>Compreende os conceitos básicos de cache e como o Redis é utilizado para melhorar a performance de sistemas através do armazenamento de dados em memória.
Sabe como configurar e utilizar comandos simples do Redis, como SET, GET, DEL, e realizar operações básicas de leitura e escrita no Redis.
Tem noções conceituais sobre os tipos de dados em Redis, como strings, listas, sets e hashes, e como armazenar e recuperar esses tipos de dados.
Entende quando e por que usar o Redis como cache para reduzir a carga em bancos de dados tradicionais e melhorar a velocidade das respostas da aplicação.
Utiliza Redis de forma básica em sistemas de baixo tráfego, onde o impacto no desempenho é perceptível.</t>
  </si>
  <si>
    <t>Utiliza Redis no dia a dia para armazenar dados temporários e melhorar a performance das aplicações, implementando estratégias de cache como cache de consulta e cache de sessão.
Configura e gerencia instâncias Redis em ambientes de desenvolvimento, garantindo que o Redis esteja operando de forma eficiente e que o sistema esteja aproveitando ao máximo a capacidade de cache.
Sabe Implementar políticas de expiração de cache (TTL) para evitar o armazenamento de dados obsoletos ou desnecessários.
Consegue identificar e corrigir problemas simples relacionados ao uso do Redis, como evicção de chave ou latência de leitura/escrita.</t>
  </si>
  <si>
    <t>Tem profundo conhecimento e experiência em escalabilidade e performance utilizando Redis, implementando soluções avançadas de cache para sistemas de alta demanda e ambientes distribuídos.
Trabalha com estratégias de persistência do Redis, como RDB (snapshotting) e AOF (append-only file), garantindo a durabilidade dos dados quando necessário.
Consegue otimizar o uso do Redis para altos volumes de dados, garantindo que o sistema continue rápido e eficiente, mesmo sob grandes cargas.
Desenvolve estratégias de fallback e tolerância a falhas para garantir a disponibilidade do sistema mesmo em caso de falhas no Redis.
Realiza tuning de performance no Redis, otimizando taxas de leitura e escrita, e identificando gargalos de performance relacionados à configuração e ao uso do Redis.
Capacita e ensina outros membros da equipe sobre como aproveitar ao máximo o Redis e melhorar a arquitetura de cache, desde o design até a implementação de soluções escaláveis.
Fornece treinamentos e workshops sobre o uso eficiente de Redis em diferentes cenários, como cache de objetos, gerenciamento de sessões e filas de tarefas.</t>
  </si>
  <si>
    <t xml:space="preserve">Possui conhecimentos básicos sobre o uso do C# na plataforma .NET, incluindo os fundamentos da linguagem como sintaxe, tipos de dados, estruturas de controle e conceitos básicos de OOP (Programação Orientada a Objetos).
Está familiarizado com os conceitos de tipagem estática, classes, interfaces, métodos e propriedades em C#.
Consegue implementar soluções simples utilizando C# no .NET LTS e executar operações básicas de manipulação de dados, como leitura e gravação em arquivos, conexão com bancos de dados e utilização de APIs.
Consegue construir aplicações simples utilizando o C# em frameworks LTS do .NET como ASP.NET Core para backend, com compreensão básica da estrutura de projetos.
</t>
  </si>
  <si>
    <t>Utiliza C# de forma eficaz no desenvolvimento diário, sendo capaz de aplicar conceitos avançados como LINQ, delegates, events, async/await e Task Parallel Library (TPL).
Trabalha de forma consistente com o .NET LTS, desenvolvendo sistemas utilizando frameworks como ASP.NET Core para APIs, microserviços e backends escaláveis.
Consegue integrar e manipular bancos de dados através do Entity Framework Core, utilizando ORM (Object-Relational Mapping) para realizar operações de CRUD, consultas complexas e migrações de banco de dados.
Aplica boas práticas de Design Patterns em C#, como Factory, Singleton, Repository, Unit of Work, Dependency Injection e MVC.
Consegue realizar debugging, profiling e testes automatizados para garantir que o código em C# esteja robusto e sem falhas.
Adota boas práticas de manutenção de código limpo e legível seguindo padrões como SOLID, e Clean Code dentro do ecossistema .NET.
Trabalha com microserviços utilizando ASP.NET Core e tem experiência em APIs RESTful e web services.
Utiliza os recursos mais recentes do C# e .NET LTS, para otimizar o código e melhorar a performance da aplicação.                                                                                                                                                                                                                      Entende o conceito de garbage collection e gerenciamento de memória no C# e como a linguagem realiza o gerenciamento automático de memória.</t>
  </si>
  <si>
    <t>É especialista em C# no .NET LTS, possuindo um domínio profundo da linguagem, das bibliotecas nativas e de como maximizar a performance em projetos de alta complexidade.
Contribui para a definição da arquitetura do sistema, utilizando as melhores práticas de design, escalabilidade e desempenho com C# e .NET.
Integra o .NET LTS em ambientes de produção, garantindo que o sistema esteja pronto para escalar e operar com alta performance e alta disponibilidade.
Desenvolve microserviços e APIs com alta performance, utilizando estratégias de caching, event sourcing, CQRS, e concurrency em C#.
Consegue otimizar o uso do C# para grandes volumes de dados, realizando paralelismo, assincronismo e otimização de memória de maneira eficiente.
Ensina e realiza workshops sobre o uso avançado de C# e .NET LTS, sendo referência técnica para outros membros da equipe em arquitetura de software e desenvolvimento de alta performance.
Contribui para a criação e implementação de padrões de codificação e boas práticas dentro da equipe, realizando treinamentos sobre C# e .NET LTS para novos desenvolvedores.
Atua como mentor para a equipe, orientando sobre a evolução da linguagem, as novidades do .NET LTS e a aplicação de técnicas avançadas em C# em sistemas complexos.</t>
  </si>
  <si>
    <t>Tem conhecimento básico sobre o NuGet, o gerenciador de pacotes para .NET, e sabe como instalar e gerenciar pacotes NuGet em projetos no Visual Studio ou VS Code.
Sabe como adicionar pacotes NuGet a um projeto, e utilizar pacotes de terceiros em uma aplicação, como bibliotecas populares para manipulação de dados, serialização ou conectores de banco de dados.
Consegue configurar referências a pacotes NuGet através de Arquivo .csproj ou nuget.config, realizando as operações básicas de atualização e remoção de pacotes.
Compreende o conceito de dependências e como o NuGet gerencia as versões dos pacotes e resolve conflitos de versões entre pacotes.</t>
  </si>
  <si>
    <t>Utiliza NuGet no dia a dia, realizando operações de instalação, atualização e remoção de pacotes em projetos de backend e infraestrutura, com boa compreensão do impacto de versões e dependências no desenvolvimento e implantação.
Configura e utiliza feeds NuGet privados para hospedar pacotes internos ou personalizados, permitindo o compartilhamento seguro de código dentro da organização.
Gerencia a compatibilidade de pacotes com diferentes versões de .NET e frameworks em uso no projeto.
Consegue solucionar problemas comuns relacionados ao NuGet, como falhas na restauração de pacotes, conflitos de versão e problemas de cache e autenticação.</t>
  </si>
  <si>
    <t>É especialista no uso de NuGet, com amplo conhecimento sobre a criação de pacotes personalizados e na distribuição de bibliotecas internas por meio de feeds privados ou públicos.
Tem domínio na gerência de dependências complexas entre pacotes e nas melhores práticas de versionamento, garantindo a compatibilidade entre diferentes versões de pacotes e minimizando os conflitos entre dependências no ecossistema .NET.
Configura e gerencia feeds privados NuGet em servidores internos ou serviços como Azure Artifacts, garantindo a segurança e integridade dos pacotes compartilhados dentro da organização.
Realiza auditorias de pacotes, revisando o conteúdo dos pacotes NuGet para garantir que estão livres de vulnerabilidades de segurança e cumpram as políticas internas de qualidade.
Contribui para a padronização de processos no uso de NuGet dentro da equipe ou organização.</t>
  </si>
  <si>
    <t>Tem conhecimento básico sobre o uso da biblioteca Mediator no .NET (como MediatR) para desacoplamento de lógica em aplicações.
Entende o conceito de mediador como um padrão de design que facilita a comunicação entre componentes do sistema, sem que estes se conheçam diretamente, e aplica esse conceito em cenários simples.
Consegue implementar e utilizar mediators para enviar comandos ou consultas entre objetos, utilizando a biblioteca MediatR para organizar e desacoplar a lógica de processamento.
Utiliza a biblioteca Mediator para implementar comunicação entre handlers e requests e para estruturar interações simples, como execução de comandos e consultas dentro de um único contexto.</t>
  </si>
  <si>
    <t>Utiliza a biblioteca Mediator de forma eficiente no desenvolvimento diário, desacoplando lógica de negócios em suas aplicações, especialmente em projetos de backend, como APIs e microserviços.
Integra a mediator pattern de forma consistente em aplicações complexas, garantindo que a comunicação entre componentes seja realizada de maneira mais modular e escalável.
Implementa handlers e requests complexos utilizando a biblioteca Mediator, podendo envolver commands, queries e notifications, dependendo do tipo de interação e da necessidade do projeto.
É capaz de organizar fluxos de execução com múltiplos handlers e pre/post actions utilizando o MediatR, além de gerenciar as dependências necessárias para a execução desses processos.</t>
  </si>
  <si>
    <t>É especialista no uso da biblioteca Mediator e domina completamente o padrão Mediator em arquiteturas escaláveis e desacopladas.
Desenvolve soluções avançadas utilizando Mediator para orquestrar fluxos complexos de comunicação entre diferentes partes de uma aplicação, utilizando comandos, consultas e notificações de maneira eficiente.
Estrutura a arquitetura de sistemas utilizando o Mediator de forma estratégica, event sourcing e outros padrões de design de software para garantir desempenho, escala e facilidade de manutenção.
Implementa soluções com MediatR e inversão de controle (IoC) de forma a criar aplicações desacopladas, modulares e de alto desempenho.
Atua como referência técnica na equipe ou organização, fornecendo treinamentos e orientações sobre o uso da biblioteca Mediator para melhorar a manutenibilidade e a escalabilidade do código.
Contribui para a definição de arquiteturas baseadas em Mediator e como aplicá-las em sistemas microservices e de alta complexidade, promovendo boas práticas de desacoplamento, testabilidade e flexibilidade.
Trabalha ativamente na criação de modelos de uso de Mediator para resolver problemas recorrentes em arquiteturas distribuídas e orientadas a eventos, além de realizar auditorias e melhorias contínuas na implementação do padrão.</t>
  </si>
  <si>
    <t>Tem conhecimento básico sobre o OData (Open Data Protocol) como um protocolo para a criação e consumo de APIs RESTful que permitem consultas dinâmicas e filtragem de dados.
Compreende os conceitos principais do OData, como query options (filtros, ordenação, paginação) e como o protocolo pode ser utilizado para criar APIs RESTful mais flexíveis.
Sabe como implementar endpoints OData em APIs .NET utilizando o pacote Microsoft.AspNetCore.OData.
Entende a importância do OData para criar APIs consultáveis e flexíveis, permitindo que clientes façam queries personalizadas diretamente nas APIs.</t>
  </si>
  <si>
    <t>Utiliza OData no desenvolvimento de APIs no dia a dia, configurando query options como $filter, $select, $orderby, $top, $skip e $count para criar endpoints flexíveis e dinâmicos em APIs RESTful.
Implementa filtros, paginamento e ordenamento de dados via OData para permitir que os consumidores da API façam consultas personalizadas sem sobrecarregar o servidor com lógica adicional.
Consegue criar modelos de dados OData e mapear entidades de um banco de dados ou de modelos de domínio para endpoints consultáveis via OData.
Em frontend, utiliza OData para consumir APIs OData de forma eficiente, utilizando frameworks como Angular ou React para fazer chamadas dinâmicas e manipular os resultados de consultas complexas.
Otimiza consultas OData, prevenindo problemas de performance ao restringir as operações disponíveis, como evitar a exposição de endpoints que possam causar consultas extremamente complexas ou custosas para o banco de dados.</t>
  </si>
  <si>
    <t>É especialista em OData e pode projetar APIs complexas e escaláveis utilizando o OData de maneira estratégica, aproveitando ao máximo o protocolo para consultas dinâmicas, filtros complexos e paginamento eficiente.
Possui amplo domínio da biblioteca OData para .NET, criando e otimizando endpoints que podem ser altamente configuráveis e performáticos, resolvendo problemas de consulta de dados em sistemas de alta complexidade.
Implementa funcionalidades avançadas de OData, como expansão de entidades relacionadas (com $expand), agregações (com $aggregate) e projeções customizadas, oferecendo soluções extremamente flexíveis e robustas para consumo de dados.
Tem experiência em escala e desempenho no uso de OData, configurando cache de consultas, limitando operações caras e evitando over-fetching ou under-fetching de dados.
Atua como referência técnica no uso do OData, conduzindo treinamentos e workshops sobre como melhor integrar o protocolo no desenvolvimento de APIs e como otimizar sua performance em ambientes de grande volume de dados.
Trabalha na definição de padrões e boas práticas de utilização de OData em toda a organização, visando padronizar a criação de APIs e melhorar a qualidade das consultas realizadas pelos consumidores da API.
Colabora ativamente no projeto de sistemas corporativos de alta performance que utilizam OData como mecanismo de consulta dinâmico para dados distribuídos em microserviços e bancos de dados grandes.</t>
  </si>
  <si>
    <t>Tem conhecimento básico do Entity Framework Core (EF Core) e compreende os conceitos fundamentais de ORM (Object-Relational Mapping).
Sabe como configurar e conectar uma aplicação .NET a um banco de dados utilizando EF Core.
Compreende como realizar operações básicas como inserção, atualização, exclusão e consulta (CRUD) com o EF Core.
Conhece os tipos básicos de relacionamentos entre entidades e como definir modelos de dados usando o EF Core.
Usa migrations para gerenciar mudanças no esquema do banco de dados de maneira simples e controlada.
Realiza consultas LINQ com o EF Core, mas com uma profundidade inicial, buscando principalmente consultas simples e de baixa complexidade.</t>
  </si>
  <si>
    <r>
      <rPr>
        <sz val="11"/>
        <color rgb="FF000000"/>
        <rFont val="Calibri"/>
        <scheme val="minor"/>
      </rPr>
      <t xml:space="preserve">Trabalha com EF Core no desenvolvimento diário, aplicando operações CRUD avançadas e utilizando LINQ para consultas mais complexas, como filtros, joins e projeções.
Cria e manipula modelos de dados com o EF Core, implementando corretamente relacionamentos entre entidades e utilizando convenções de mapeamento para facilitar o desenvolvimento.
Gerencia migrations e atualiza o esquema do banco de dados de maneira eficiente, evitando conflitos e mantendo o controle da versão do banco.
Implementa consultas complexas no EF Core, aproveitando funcionalidades como Grouping, Aggregations, Subqueries e joins de múltiplas tabelas.
</t>
    </r>
    <r>
      <rPr>
        <sz val="11"/>
        <color rgb="FF000000"/>
        <rFont val="Calibri"/>
        <scheme val="minor"/>
      </rPr>
      <t xml:space="preserve">
</t>
    </r>
  </si>
  <si>
    <t>É especialista em Entity Framework Core, com amplo conhecimento de suas funcionalidades avançadas e melhores práticas para desempenho, escalabilidade e manutenibilidade.
Projeta e implementa sistemas complexos utilizando EF Core, aproveitando ao máximo os recursos da ORM para otimizar a performance de consultas, especialmente em grandes volumes de dados e transações complexas.
Trabalha com consultas altamente otimizadas, utilizando raw SQL, EF Core optimizations e técnicas de batch processing para melhorar o desempenho em cenários de alta carga.
Tem domínio sobre padrões de arquitetura no uso do EF Core, como Repository Pattern e Unit of Work, para garantir a flexibilidade e manutenibilidade do código.
Gera treinamentos e oferece mentoria sobre o uso avançado do EF Core, compartilhando as melhores práticas com a equipe e garantindo que todos sigam padrões para criar aplicações escaláveis e de alta performance.
Desenvolve soluções complexas de migrations, versionamento de banco de dados e controle de mudanças em cenários de evolução contínua de sistemas.                                                                                                                                                                                                                                             Aplica boas práticas de performance no EF Core, como a utilização de compilation queries e estratégias de caching quando necessário.                                                                                                                                                                                                                                      Configura estratégias de carregamento de dados, como Eager Loading, Lazy Loading e Explicit Loading, para melhorar o desempenho das consultas.
Aplica boas práticas de segurança e performance no uso do EF Core, como controle de injeção de dependências, prevenção de SQL injection, e otimização de transações.
Trabalha como referência técnica na equipe, ajudando a resolver problemas desafiadores no uso do EF Core e sendo responsável por implementar melhorias contínuas no processo de desenvolvimento.</t>
  </si>
  <si>
    <t>Tem conhecimento básico sobre ferramentas de monitoramento como App Insights e Grafana, entendendo a importância do monitoramento de sistemas para garantir a saúde e desempenho das aplicações.
Compreende como configurar e coletar métricas básicas de sistemas e aplicações, como logs, métricas de performance e alertas simples.
Sabe como visualizar dashboards básicos no Grafana ou utilizar App Insights para acessar dados relacionados a logs e telemetria de aplicações.
Sabe como configurar alertas simples em caso de erros críticos, como falhas de serviço ou picos de consumo de recursos (CPU, memória).
Consegue acessar e analisar logs simples de erro e performance para identificar problemas de forma preliminar.
Utiliza ferramentas de monitoramento em nível básico no seu fluxo de trabalho diário, mas sem profundidade na configuração avançada.</t>
  </si>
  <si>
    <t>Utiliza ferramentas de monitoramento como App Insights ou Grafana no dia a dia para monitorar e analisar a saúde das aplicações e infraestrutura.
Sabe configurar métricas customizadas para monitorar o desempenho de módulos específicos do sistema, como tempo de resposta, taxa de erro, uso de memória e uso de CPU.
Configura dashboards no Grafana para apresentar visualmente as métricas mais relevantes de sistemas, serviços ou bases de dados, permitindo uma análise rápida e eficaz.
Integra ferramentas de monitoramento com o código e as infraestruturas de nuvem, como Azure, AWS, ou Google Cloud, configurando telemetria para monitorar infraestrutura como código.
Gera e analisa relatórios de performance e alertas de incidentes, sendo capaz de identificar, diagnosticar e corrigir falhas ou problemas de desempenho de forma eficaz.
Em QA, realiza o monitoramento das aplicações em teste para verificar como elas se comportam em ambientes de produção e quando estão sujeitas a diferentes cargas de tráfego.
Atua de forma mais proativa ao identificar tendências e padrões em métricas coletadas ao longo do tempo, como aumento no tempo de resposta ou deterioração de performance de uma aplicação.</t>
  </si>
  <si>
    <t>É especialista no uso de ferramentas de monitoramento, como App Insights e Grafana, podendo configurar, otimizar e personalizar dashboards e alertas para monitorar a saúde dos sistemas em grande escala.
Cria soluções avançadas para monitoramento de infraestrutura, microserviços e aplicações distribuídas, utilizando ferramentas como Grafana, Prometheus, Elastic Stack (ELK), ou App Insights para garantir uma visibilidade completa do ambiente de produção.
Implementa alertas proativos e personalizados, para detectar problemas antes que afetem a experiência do usuário ou impactem o sistema em produção, com base em métricas como latência, erro de sistema, uso de recurso e taxa de falhas.
Configura dashboards dinâmicos e relatórios analíticos, permitindo visualização detalhada de métricas de desempenho em tempo real e análises históricas detalhadas para detectar tendências e anomalias.
Realiza integrações avançadas com ferramentas de monitoramento e alertas para gerenciar escalabilidade de sistemas distribuídos e ambientes de alta disponibilidade.
Consegue automatizar respostas a incidentes baseadas em alertas, utilizando ferramentas como Azure Monitor, Prometheus, ou Grafana para iniciar processos de recuperação automática ou scripts de diagnóstico quando algo não vai bem.
Atua como referência técnica no uso de ferramentas de monitoramento, treinando e orientando os times na melhor forma de utilizá-las, implementando melhores práticas e estratégias de performance para aplicações e infraestrutura.
Aplica padrões de monitoramento para garantir que as métricas mais críticas estejam sendo coletadas e analisadas com o intuito de otimizar a performance e minimizar falhas.</t>
  </si>
  <si>
    <t>Possui conhecimento básico sobre o Angular na versão base que o time esta utilizando, entendendo seus principais conceitos, como componentes, módulos e serviços.
Compreende como configurar uma aplicação utilizando o CLI do Angular e realizar operações básicas de desenvolvimento.
Conhece os fundamentos da estrutura do Angular, como data binding, event binding, e template-driven forms, utilizando esses recursos para desenvolvimento de funcionalidades simples.
Sabe como instalar e configurar dependências do Angular, utilizando o npm para gerenciar pacotes, e tem uma compreensão básica do Angular Routing para navegação entre páginas.
Consegue realizar tarefas básicas como consumo de APIs simples usando HttpClient para fazer chamadas HTTP e exibir dados na interface.</t>
  </si>
  <si>
    <t>Utiliza o Angular de forma eficiente no dia a dia, aplicando os conceitos de componentes, serviços, directives, pipes, modules e routing para construir aplicações web dinâmicas e interativas.
Trabalha com formas reativas (Reactive Forms) e template-driven forms para construção de formulários, validações e interações com o backend.
É capaz de realizar manipulação avançada de estado dentro da aplicação usando RxJS, criando observables e utilizando operadores para gerenciar fluxos assíncronos de dados.
Compreende o conceito de lazy loading e utiliza para otimizar o carregamento de módulos e melhorar a performance da aplicação.
Integra Angular com APIs RESTful, utilizando o HttpClient para enviar e receber dados e implementa interceptores para gerenciar requisições de forma centralizada (como autenticação e manipulação de erros).
Adota boas práticas no uso de gerenciamento de dependências, organização de módulos e padrões de design para garantir a escalabilidade da aplicação.
Conhece e aplica boas práticas de desempenho</t>
  </si>
  <si>
    <t>É especialista em Angular, com profundo conhecimento em arquitetura de aplicações Angular e design patterns aplicados no framework. Projeta soluções complexas com Angular, incluindo SPA (Single Page Applications), gestão eficiente de estado, lazy loading.
Cria componentes e módulos altamente reutilizáveis, gerenciando a comunicação entre componentes de forma eficiente e utilizando services e NgRx para o gerenciamento de estado global.
Tem domínio sobre o manuseio de RxJS, observables e seus operadores, e consegue desenvolver fluxos assíncronos complexos em grandes aplicações de forma robusta e performática.
Utiliza o Angular CLI para gerenciar a construção e o empacotamento de aplicações de forma otimizada, garantindo boas práticas de builds, tests e deploys automatizados.
Aplica estratégias de segurança no Angular, como roteamento protegido, autenticação via JWT, proteção contra XSS e CORS.
Atua como referência técnica na equipe, criando treinamentos e documentação para melhores práticas no uso do Angular, além de ajudar na solução de problemas desafiadores no desenvolvimento.
Consegue gerenciar grandes bases de código com Angular de forma modularizada e escalável, garantindo alta performance mesmo em sistemas de larga escala. Optimiza a aplicação com Análise de Performance e recomenda melhorias contínuas para garantir alta performance e experiência do usuário.
Ensina e treina outros desenvolvedores na equipe, compartilhando as melhores práticas e sendo responsável por conduzir discussões sobre evolução do framework e novos recursos.</t>
  </si>
  <si>
    <t>Tem conhecimento básico sobre a integração e uso de componentes prontos, como NDK (Native Development Kit) ou NDS (Native Development Services), criados por outro time, como o time de Labs.
Consegue importar e utilizar componentes prontos, compreendendo suas funcionalidades gerais e integrando-os em soluções de frontend.
Sabe como realizar pequenas modificações nos componentes prontos para ajustá-los ao contexto da aplicação, sempre com orientação.
Tem familiaridade com a documentação dos componentes prontos, sabendo como consultar recursos e exemplos para ajudar na implementação.
Utiliza os componentes de maneira simples, respeitando as orientações de outros times sobre como consumir e aplicar essas soluções.</t>
  </si>
  <si>
    <t>Utiliza de forma recorrente os componentes prontos de outros times, como NDK/NDS, aplicando-os corretamente para resolver problemas de frontend com eficiência.
Consegue customizar e ajustar os componentes prontos para melhor atender às necessidades do produto ou aplicação, sem comprometer a integridade do código.
Trabalha de forma colaborativa com o time de Labs para entender o comportamento dos componentes e garantir sua integração perfeita nas soluções de frontend.
Compreende as dependências e limitações dos componentes prontos, evitando conflitos e realizando testes adequados antes de integrá-los aos fluxos de produção.
Tem autonomia para resolver problemas comuns ao integrar esses componentes prontos, utilizando boas práticas para garantir qualidade e manutenção do código.
Participa ativamente de discussões com outros times para aprimorar e atualizar os componentes prontos, garantindo que atendam aos novos requisitos do sistema.</t>
  </si>
  <si>
    <t>É especialista na integração de componentes prontos (NDK/NDS) de outros times, como Labs, conseguindo realizar uma integração avançada com outras soluções de frontend.
Customiza e adapta componentes complexos, entendendo profundamente as suas funcionalidades internas, podendo realizar ajustes sofisticados de acordo com a necessidade do sistema sem perder a coerência com o código original.
Atua como referência técnica na equipe, liderando a integração de soluções de outros times e ajudando a estruturar a melhor forma de reutilizar componentes prontos de maneira eficaz e escalável.
Trabalha diretamente com os times de Labs e outras equipes envolvidas, garantindo que os componentes prontos estejam sempre alinhados às necessidades e novas demandas do produto, mantendo a qualidade e a compatibilidade.
Desenvolve estratégias de integração de alto nível, utilizando boas práticas de design de software, para garantir que o código seja reutilizável, escalável e fácil de manter. Proporciona treinamentos e orientações para os desenvolvedores da equipe, compartilhando melhores práticas no uso de NDK/NDS e oferecendo soluções para problemas complexos de integração.
É capaz de antecipar e resolver problemas de compatibilidade entre os componentes prontos e a aplicação, utilizando técnicas avançadas de debugging e manipulação de dependências. Consegue otimizar a performance e segurança na utilização de componentes prontos, garantindo que o código entregue atenda aos mais altos padrões de qualidade, eficiência e segurança.</t>
  </si>
  <si>
    <t>Tem conhecimento básico sobre CSS, Flexbox e Bootstrap, compreendendo como cada uma dessas tecnologias funciona para a criação de layouts e interfaces responsivas.
Consegue utilizar Bootstrap para a criação de componentes básicos como botões, formulários e navegação, além de aplicar classes do Bootstrap para estruturar páginas simples.
Tem entendimento sobre Flexbox e utiliza suas propriedades para criar layouts básicos com alinhamento e distribuição de elementos.
Sabe aplicar estilos básicos de CSS, como cores, fontes, margens, padding, bordas e backgrounds, para dar um visual básico às páginas.
Consegue ajustar e personalizar componentes do Bootstrap para que se alinhem aos requisitos do projeto, utilizando as classes já existentes da ferramenta.</t>
  </si>
  <si>
    <t>Utiliza Bootstrap, Flexbox e CSS de forma recorrente no dia a dia para desenvolver interfaces dinâmicas e responsivas, aplicando boas práticas de design responsivo.
Trabalha com Flexbox para construir layouts flexíveis, criando estruturas que se adaptam a diferentes tamanhos de tela e dispositivos.
Personaliza componentes Bootstrap avançados (como modais, carrosséis, alertas), garantindo que o design da aplicação atenda aos requisitos de usabilidade e acessibilidade.
Tem conhecimento profundo de CSS avançado, incluindo pseudo-classes, pseudo-elementos, transições e animações, criando interações fluidas e agradáveis para o usuário.
Utiliza técnicas como Mobile First e Media Queries para garantir que as aplicações se comportem bem em dispositivos móveis e desktops.
Consegue resolver problemas de layout complexos, utilizando uma combinação de Flexbox e CSS para garantir alinhamento perfeito e distribuição proporcional dos elementos na tela.
Aplica técnicas de pré-processadores CSS, como SASS ou LESS, para otimizar e organizar o código, utilizando variáveis, aninhamento e mixins.</t>
  </si>
  <si>
    <t>É especialista em CSS, Flexbox e Bootstrap, com profundo conhecimento nas melhores práticas de layout e design responsivo.
Cria layouts complexos e escaláveis utilizando Flexbox, garantindo que as interfaces se adaptem perfeitamente a diferentes tamanhos de tela e dispositivos, sem perder performance.
Personaliza Bootstrap para criar componentes e templates avançados, modificando profundamente a estrutura e estilo de suas funcionalidades para atender aos requisitos específicos do projeto.
Consegue otimizar e refatorar CSS de aplicações grandes, garantindo que o código seja manutenível, eficiente e com bom desempenho. Desenvolve designs altamente responsivos, utilizando CSS Grid, Flexbox e Media Queries para garantir que a interface funcione de maneira perfeita em qualquer dispositivo.
Aplica técnicas avançadas de acessibilidade (a11y) no uso de CSS, garantindo que a aplicação seja acessível a todos os usuários, independentemente de suas habilidades.
Trabalha como referência técnica para a equipe, liderando iniciativas de treinamento sobre CSS, Flexbox e Bootstrap, e orientando outros desenvolvedores nas melhores práticas e soluções avançadas.
Projeta e implementa estratégias de performance para otimizar a renderização de páginas, reduzindo o impacto de CSS e garantindo que o código seja carregado rapidamente pelos usuários.
Consegue integrar CSS com outras ferramentas de desenvolvimento (como PostCSS, CSS Modules, ou TailwindCSS) para uma solução moderna e escalável, sempre com foco em boas práticas de modularização.</t>
  </si>
  <si>
    <t>Tem conhecimento básico sobre o Node.js, especificamente a versão 16+, e sua aplicação em projetos de frontend.
Consegue instalar e configurar um ambiente básico de Node.js em seu projeto frontend, utilizando o npm (Node Package Manager) para gerenciar dependências.
Sabe como usar o Node.js para rodar scripts simples, como automação de tarefas (por exemplo, build ou minificação de arquivos).
Entende os conceitos básicos de pacotes npm e consegue instalar e atualizar dependências dentro do ambiente de desenvolvimento.
Utiliza Node.js para gerenciar ferramentas de desenvolvimento, como Webpack, Babe
Consegue configurar e executar o servidor de desenvolvimento básico com Node.js para trabalhar em conjunto com aplicações frontend.</t>
  </si>
  <si>
    <t>Utiliza Node.js 16+ de forma recorrente em seu trabalho diário, principalmente para automatizar processos de build, gerenciar dependências, e rodar ferramentas de desenvolvimento no frontend.
Consegue configurar e customizar scripts npm para automatização de tarefas, como compilação de arquivos e testes automatizados.
Está confortável utilizando o Node.js para desenvolver servidores locais de desenvolvimento e API's simples para testar a integração com a parte frontend.
Tem bom entendimento de como Node.js 16+ pode ser integrado com outras tecnologias e ferramentas no ecossistema de frontend, como Webpack, Vite, Parcel, e Rollup, para otimização e organização de código.
Usa o Node.js para gerenciar e atualizar o fluxo de desenvolvimento, garantindo que os pacotes e dependências estejam sempre atualizados e funcionando sem conflitos.
Consegue solucionar problemas relacionados ao ambiente de desenvolvimento, como erros de dependência e conflitos de versões de pacotes, garantindo a estabilidade no workflow.</t>
  </si>
  <si>
    <t>É especialista em Node.js 16+, com profundo conhecimento na utilização e personalização do ambiente de desenvolvimento frontend. Desenvolve e mantém servidores de desenvolvimento complexos e API's back-end utilizando Node.js 16+, com alto desempenho, escalabilidade e segurança.
Atua como referência técnica na equipe sobre as melhores práticas de Node.js em ambientes frontend, liderando e orientando outros membros da equipe sobre configuração de servidores, automatização de tarefas e gerenciamento de dependências.
Tem expertise na integração do Node.js 16+ com frameworks e bibliotecas frontend, como React, Vue.js, ou Angular, para otimizar o desempenho de construção e fornecimento de assets estáticos.
Cria scripts e ferramentas personalizadas utilizando Node.js, com foco em otimizar o processo de desenvolvimento, como a criação de fluxos de CI/CD (Integração Contínua e Deploy Contínuo) e automação de testes.
Otimiza o desempenho do ambiente de desenvolvimento com Node.js, garantindo uma experiência fluida e eficiente tanto para a equipe quanto para o processo de entrega de software.
Realiza treinamentos internos, guiando a equipe sobre as melhores práticas de Node.js 16+, e sendo responsável pela implementação de soluções avançadas e pela resolução de problemas complexos.
Lida com desafios avançados como gerenciamento de pacotes em projetos de grande escala, atualizações de versões e manutenção de dependências críticas.
É capaz de antecipar problemas de performance e otimizar os processos que envolvem o uso do Node.js 16+, garantindo que o sistema esteja alinhado com as melhores práticas do mercado e as necessidades do produto.</t>
  </si>
  <si>
    <t>Tem conhecimento básico de TypeScript, compreendendo os conceitos fundamentais da linguagem, como tipagem estática, interfaces, tipos primitivos e funções. Consegue configurar e compilar um projeto básico em TypeScript, aplicando tipos para variáveis, funções e objetos. Entende a diferença entre tipos primitivos e tipos complexos e como utilizá-los corretamente nas aplicações. Tem capacidade para identificar erros comuns de tipo em tempo de compilação e corrigir tipos incompatíveis.
Sabe utilizar tipos opcionais e tipos genéricos para tornar o código reutilizável.</t>
  </si>
  <si>
    <t>Utiliza TypeScript de forma consistente no seu dia a dia para desenvolver componentes e funcionalidades complexas em projetos de frontend.
Aplica tipos avançados no código, como uniões de tipos, enums, interseções de tipos e tipos genéricos, para garantir maior flexibilidade e segurança.
Consegue estruturar projetos grandes utilizando TypeScript, organizando tipos, interfaces, classes e funções de forma eficiente e legível.
Trabalha com tipagem de componentes e props em frameworks como React ou Vue.js, aplicando tipos de forma robusta em toda a aplicação para evitar erros no desenvolvimento.
Sabe configurar tsconfig.json para otimizar o ambiente de desenvolvimento e garantir a compatibilidade entre diferentes versões do TypeScript.
Consegue integrar TypeScript com outras ferramentas e bibliotecas do ecossistema JavaScript, como Webpack e Babel, garantindo que a aplicação seja compilada corretamente para o ambiente de produção.
Resolve erros de tipagem complexos e consegue fazer o debug de tipos e interfaces com precisão para garantir a robustez da aplicação.</t>
  </si>
  <si>
    <t>É especialista em TypeScript, com profundo domínio na criação de soluções escaláveis e manutenção de grandes aplicações front-end. Desenvolve arquiteturas complexas utilizando boas práticas de tipagem, modularização e tipos genéricos avançados para garantir escalabilidade, performance e manutenibilidade.
Atua como referência técnica no time, ajudando outros membros a entender e implementar soluções de TypeScript de forma eficiente e organizada.
Aplica tipos avançados de TypeScript, como decoradores, mapeamento de tipos e funções de tipo, para resolver desafios complexos de tipagem em grandes projetos.
Integra TypeScript com frameworks e bibliotecas de ponta a ponta, como React com Redux ou Vue.js, e sabe como configurar essas ferramentas de maneira a maximizar a tipagem estática e segurança de tipo.
Lidera a implementação de estruturas robustas de TypeScript no projeto, como a definição de tipos globais, módulos, interfaces e classes, garantindo que a escabilidade e manutenção da aplicação sejam sempre preservadas.
Projeta e aplica padrões de tipagem para a equipe, ajudando a definir convenções para o uso de tipos complexos e tipagem em APIs. Conduz treinamentos internos sobre TypeScript, compartilhando boas práticas, estratégias de debugging avançado e abordagens para a criação de tipos reutilizáveis.
É capaz de resolver problemas avançados de tipagem dinâmica em aplicações que utilizam tipos heterogêneos ou integrações complexas com APIs externas.</t>
  </si>
  <si>
    <r>
      <rPr>
        <b/>
        <sz val="11"/>
        <color rgb="FF000000"/>
        <rFont val="Calibri"/>
        <scheme val="minor"/>
      </rPr>
      <t xml:space="preserve">Dev Backend/Dev Frontend: </t>
    </r>
    <r>
      <rPr>
        <sz val="11"/>
        <color rgb="FF000000"/>
        <rFont val="Calibri"/>
        <scheme val="minor"/>
      </rPr>
      <t xml:space="preserve">Compreende o conceito de gateway e sua função em um sistema, principalmente em contextos como API Gateway.
Consegue implementar configurações simples de gateway, como roteamento básico e gestão de tráfego entre sistemas.
Tem conhecimento sobre segurança básica em gateways.
</t>
    </r>
    <r>
      <rPr>
        <b/>
        <sz val="11"/>
        <color rgb="FF000000"/>
        <rFont val="Calibri"/>
        <scheme val="minor"/>
      </rPr>
      <t xml:space="preserve">Q.A.: </t>
    </r>
    <r>
      <rPr>
        <sz val="11"/>
        <color rgb="FF000000"/>
        <rFont val="Calibri"/>
        <scheme val="minor"/>
      </rPr>
      <t>Compreende o papel do gateway na comunicação entre diferentes sistemas e como ele pode afetar o fluxo de dados nas APIs.
Sabe testar APIs utilizando gateways e validar routings e endpoints.</t>
    </r>
  </si>
  <si>
    <r>
      <rPr>
        <b/>
        <sz val="11"/>
        <color rgb="FF000000"/>
        <rFont val="Calibri"/>
        <scheme val="minor"/>
      </rPr>
      <t xml:space="preserve">Dev Backend/Dev Frontend: </t>
    </r>
    <r>
      <rPr>
        <sz val="11"/>
        <color rgb="FF000000"/>
        <rFont val="Calibri"/>
        <scheme val="minor"/>
      </rPr>
      <t xml:space="preserve">Utiliza gateways visando melhorar o desempenho do sistema através de balanceamento de carga.
É capaz de resolver problemas de roteamento e manipulação de erros no contexto de API Gateways.
Consegue integrar o frontend com API Gateways, garantindo que a comunicação seja eficiente e segura.
Está familiarizado com a configuração de headers de autenticação e tokens ao interagir com o gateway.
Garante que os dados sejam consumidos corretamente e que as restrições de segurança sejam respeitadas.
</t>
    </r>
    <r>
      <rPr>
        <b/>
        <sz val="11"/>
        <color rgb="FF000000"/>
        <rFont val="Calibri"/>
        <scheme val="minor"/>
      </rPr>
      <t xml:space="preserve">Q.A.: </t>
    </r>
    <r>
      <rPr>
        <sz val="11"/>
        <color rgb="FF000000"/>
        <rFont val="Calibri"/>
        <scheme val="minor"/>
      </rPr>
      <t>Avalia a performance de APIs que passam por gateways, verificando tempos de resposta e load balancing.
Realiza testes de regressão para garantir que mudanças nas configurações de gateways não quebrem integrações já existentes.</t>
    </r>
  </si>
  <si>
    <r>
      <rPr>
        <b/>
        <sz val="11"/>
        <color theme="1"/>
        <rFont val="Calibri"/>
        <family val="2"/>
        <scheme val="minor"/>
      </rPr>
      <t>Dev Backend/Dev Frontend:</t>
    </r>
    <r>
      <rPr>
        <sz val="11"/>
        <color theme="1"/>
        <rFont val="Calibri"/>
        <family val="2"/>
        <scheme val="minor"/>
      </rPr>
      <t xml:space="preserve"> É especialista na arquitetura de Gateway, criando e gerenciando soluções robustas de API Gateway em ambientes de alta complexidade.
Estuda e propoe melhorias, implementa e mantém gateways escaláveis com alta disponibilidade e performance.
Possui profundo conhecimento sobre controle de versão de APIs, e governança em integrações de API Gateway.
Lidera a implementação de melhores práticas de API Gateway para toda a equipe, e orienta outros desenvolvedores sobre configuração de roteamento e monitoramento de APIs.
Lidera treinamentos internos sobre boas práticas para integrar frontend com API Gateway e segurança de dados.
</t>
    </r>
    <r>
      <rPr>
        <b/>
        <sz val="11"/>
        <color theme="1"/>
        <rFont val="Calibri"/>
        <family val="2"/>
        <scheme val="minor"/>
      </rPr>
      <t xml:space="preserve">Q.A.: </t>
    </r>
    <r>
      <rPr>
        <sz val="11"/>
        <color theme="1"/>
        <rFont val="Calibri"/>
        <family val="2"/>
        <scheme val="minor"/>
      </rPr>
      <t>É referência técnica na avaliação e teste de gateways em sistemas distribuídos. 
Conduz treinamentos sobre testes de integração com API Gateways, desempenho e monitoramento. Tem conhecimento abrangente em API Gateway de tecnologias de mercado.</t>
    </r>
  </si>
  <si>
    <r>
      <rPr>
        <b/>
        <sz val="11"/>
        <color rgb="FF000000"/>
        <rFont val="Calibri"/>
        <scheme val="minor"/>
      </rPr>
      <t xml:space="preserve">Dev: </t>
    </r>
    <r>
      <rPr>
        <sz val="11"/>
        <color rgb="FF000000"/>
        <rFont val="Calibri"/>
        <scheme val="minor"/>
      </rPr>
      <t xml:space="preserve">Compreende os processos básicos de publicação e instalação da Plataforma Space em ambientes de desenvolvimento e produção. Consegue executar scripts e procedimentos de deploy, garantindo que a plataforma seja instalada corretamente. 
Tem noção das dependências necessárias para a instalação e consegue configurar o ambiente de desenvolvimento para rodar a plataforma.
</t>
    </r>
    <r>
      <rPr>
        <b/>
        <sz val="11"/>
        <color rgb="FF000000"/>
        <rFont val="Calibri"/>
        <scheme val="minor"/>
      </rPr>
      <t xml:space="preserve">Q.A.: </t>
    </r>
    <r>
      <rPr>
        <sz val="11"/>
        <color rgb="FF000000"/>
        <rFont val="Calibri"/>
        <scheme val="minor"/>
      </rPr>
      <t xml:space="preserve">Entende os processos de instalação e publicação da plataforma, sendo capaz de verificar se o ambiente está corretamente configurado para testar a aplicação.
Realiza testes manuais pós-instalação para verificar se todos os componentes do sistema estão funcionando conforme esperado. Pode testar fluxos de instalação e garantir que o produto esteja funcionando corretamente após o deploy, validando configurações iniciais.
</t>
    </r>
    <r>
      <rPr>
        <b/>
        <sz val="11"/>
        <color rgb="FF000000"/>
        <rFont val="Calibri"/>
        <scheme val="minor"/>
      </rPr>
      <t>DevOps:</t>
    </r>
    <r>
      <rPr>
        <sz val="11"/>
        <color rgb="FF000000"/>
        <rFont val="Calibri"/>
        <scheme val="minor"/>
      </rPr>
      <t xml:space="preserve"> Possui entendimento sobre as ferramentas e processos de deploy automatizado para a Plataforma Space, garantindo a instalação e publicação contínuas de forma eficiente. Consegue configurar pipelines de integração e entrega contínua (CI/CD) para garantir que a instalação do produto ocorra de forma automatizada e sem erros. Compreende as dependências do sistema e pode garantir que o ambiente de produção e desenvolvimento tenha a configuração adequada para o funcionamento da plataforma.</t>
    </r>
  </si>
  <si>
    <r>
      <rPr>
        <b/>
        <sz val="11"/>
        <color rgb="FF000000"/>
        <rFont val="Calibri"/>
        <scheme val="minor"/>
      </rPr>
      <t xml:space="preserve">Dev: </t>
    </r>
    <r>
      <rPr>
        <sz val="11"/>
        <color rgb="FF000000"/>
        <rFont val="Calibri"/>
        <scheme val="minor"/>
      </rPr>
      <t xml:space="preserve">Realiza a publicação de novos releases da Plataforma Space no ambiente, cuidando da integração com bancos de dados e serviços externos.
Trabalha diretamente no monitoramento pós-publicação para garantir que o sistema de backend da plataforma esteja operando sem falhas.
</t>
    </r>
    <r>
      <rPr>
        <b/>
        <sz val="11"/>
        <color rgb="FF000000"/>
        <rFont val="Calibri"/>
        <scheme val="minor"/>
      </rPr>
      <t xml:space="preserve">Q.A.: </t>
    </r>
    <r>
      <rPr>
        <sz val="11"/>
        <color rgb="FF000000"/>
        <rFont val="Calibri"/>
        <scheme val="minor"/>
      </rPr>
      <t xml:space="preserve">Realiza testes de instalação e verificação de compatibilidade no produto Plataforma Space, garantindo que todos os componentes e dependências estejam corretamente configurados após a instalação. Verifica a instalação da plataforma em diferentes ambientes (desenvolvimento, teste e produção), validando os fluxos de integração contínua.
Realiza testes pós-instalação, verificando a integridade da instalação e realizando testes de regressão para garantir que a publicação não quebre funcionalidades existentes.
</t>
    </r>
    <r>
      <rPr>
        <b/>
        <sz val="11"/>
        <color rgb="FF000000"/>
        <rFont val="Calibri"/>
        <scheme val="minor"/>
      </rPr>
      <t xml:space="preserve">DevOps: </t>
    </r>
    <r>
      <rPr>
        <sz val="11"/>
        <color rgb="FF000000"/>
        <rFont val="Calibri"/>
        <scheme val="minor"/>
      </rPr>
      <t>Configura pipelines para automação da publicação e instalação do produto, garantindo que os ambientes de produção e desenvolvimento estejam sempre atualizados e funcionando corretamente.
Trabalha em conjunto com a equipe de backend e frontend para garantir que o processo de deploy da plataforma seja eficiente e sem falhas. Monitora a infraestrutura da plataforma, fazendo ajustes na publicação e instalação para melhorar a performance, escalabilidade e segurança.</t>
    </r>
  </si>
  <si>
    <r>
      <rPr>
        <b/>
        <sz val="11"/>
        <color rgb="FF000000"/>
        <rFont val="Calibri"/>
        <scheme val="minor"/>
      </rPr>
      <t xml:space="preserve">Dev: </t>
    </r>
    <r>
      <rPr>
        <sz val="11"/>
        <color rgb="FF000000"/>
        <rFont val="Calibri"/>
        <scheme val="minor"/>
      </rPr>
      <t xml:space="preserve">É especialista em otimizar e sugerir melhorias para as automatizações do processo de publicação e instalação da Plataforma Space no backend, pensando nas melhores práticas de deploy e gestão de configurações.
Atua no ambiente em caso de falhas pós-publicação, garantindo alta disponibilidade da plataforma no ambiente de desenvolvimento.
Cria e lidera workshops e treinamentos para a equipe sobre as melhores práticas de publicação e instalação, assegurando que a plataforma seja facilmente escalável e mantida.
</t>
    </r>
    <r>
      <rPr>
        <b/>
        <sz val="11"/>
        <color rgb="FF000000"/>
        <rFont val="Calibri"/>
        <scheme val="minor"/>
      </rPr>
      <t xml:space="preserve">Q.A.: </t>
    </r>
    <r>
      <rPr>
        <sz val="11"/>
        <color rgb="FF000000"/>
        <rFont val="Calibri"/>
        <scheme val="minor"/>
      </rPr>
      <t xml:space="preserve">É especialista em testar o processo de publicação e instalação, criando scripts e ferramentas para validar se a plataforma está sendo instalada corretamente e funcionando como esperado.
Ensina e orienta a equipe de QA sobre os melhores processos de testes pós-publicação, verificação de dependências e confirmação de ambientes de desenvolvimento e produção.
</t>
    </r>
    <r>
      <rPr>
        <b/>
        <sz val="11"/>
        <color rgb="FF000000"/>
        <rFont val="Calibri"/>
        <scheme val="minor"/>
      </rPr>
      <t xml:space="preserve">DevOps: </t>
    </r>
    <r>
      <rPr>
        <sz val="11"/>
        <color rgb="FF000000"/>
        <rFont val="Calibri"/>
        <scheme val="minor"/>
      </rPr>
      <t>Lidera o processo de deploy contínuo da Plataforma Space, garantindo que a infraestrutura e os ambientes de produção e desenvolvimento sejam configurados de forma robusta, segura e escalável.
Implementa soluções de monitoramento avançado e gestão de incidentes para garantir que o sistema de publicação e instalação seja eficiente e com mínima intervenção manual.
Treina a equipe sobre a automação de deploy e instalação usando ferramentas como Terraform, Kubernetes, Docker, e CI/CD.</t>
    </r>
  </si>
  <si>
    <r>
      <rPr>
        <b/>
        <sz val="11"/>
        <color theme="1"/>
        <rFont val="Calibri"/>
        <family val="2"/>
        <scheme val="minor"/>
      </rPr>
      <t xml:space="preserve">Dev Backend: </t>
    </r>
    <r>
      <rPr>
        <sz val="11"/>
        <color theme="1"/>
        <rFont val="Calibri"/>
        <family val="2"/>
        <scheme val="minor"/>
      </rPr>
      <t xml:space="preserve">Compreende o processo básico de análise de demandas, sendo capaz de entender as funcionalidades solicitadas e os requisitos do projeto.
Realiza estimativas simples de tempo para o desenvolvimento de funcionalidades, com base em sua experiência e conhecimento das ferramentas utilizadas.
Identifica as dependências mais evidentes de cada demanda e pode realizar uma análise preliminar do impacto no sistema backend.
</t>
    </r>
    <r>
      <rPr>
        <b/>
        <sz val="11"/>
        <color theme="1"/>
        <rFont val="Calibri"/>
        <family val="2"/>
        <scheme val="minor"/>
      </rPr>
      <t xml:space="preserve">Dev Frontend: </t>
    </r>
    <r>
      <rPr>
        <sz val="11"/>
        <color theme="1"/>
        <rFont val="Calibri"/>
        <family val="2"/>
        <scheme val="minor"/>
      </rPr>
      <t xml:space="preserve">Entende as necessidades do frontend a partir das demandas recebidas, conseguindo realizar estimativas simples sobre tempo e recursos necessários para implementar a funcionalidade.
Compreende os requisitos de design e UX associados à demanda e contribui para as estimativas com base em seu entendimento da interface e da experiência do usuário.
Identifica a complexidade de implementar novas funcionalidades em diferentes navegadores e dispositivos, fornecendo uma estimativa realista.
</t>
    </r>
    <r>
      <rPr>
        <b/>
        <sz val="11"/>
        <color theme="1"/>
        <rFont val="Calibri"/>
        <family val="2"/>
        <scheme val="minor"/>
      </rPr>
      <t xml:space="preserve">Q.A.: </t>
    </r>
    <r>
      <rPr>
        <sz val="11"/>
        <color theme="1"/>
        <rFont val="Calibri"/>
        <family val="2"/>
        <scheme val="minor"/>
      </rPr>
      <t>Compreende a demanda do projeto e os requisitos do cliente, sendo capaz de analisar o escopo da funcionalidade a ser testada.
Contribui com estimativas de tempo para testes, considerando o nível de complexidade dos cenários a serem validados.
Identifica as principais funcionalidades que precisarão ser validadas e começa a desenhar os casos de teste mais simples para o que foi solicitado.</t>
    </r>
  </si>
  <si>
    <r>
      <rPr>
        <b/>
        <sz val="11"/>
        <color theme="1"/>
        <rFont val="Calibri"/>
        <family val="2"/>
        <scheme val="minor"/>
      </rPr>
      <t xml:space="preserve">Dev Backend: </t>
    </r>
    <r>
      <rPr>
        <sz val="11"/>
        <color theme="1"/>
        <rFont val="Calibri"/>
        <family val="2"/>
        <scheme val="minor"/>
      </rPr>
      <t xml:space="preserve">Participa ativamente da análise de requisitos e estimativa de demanda, identificando as interações entre o sistema backend e outras partes do sistema, como o frontend e o banco de dados.
Realiza estimativas mais detalhadas sobre o tempo necessário para implementar funcionalidades, levando em conta fatores como arquitetura do sistema, integrações com APIs e sistemas externos, e eventuais desafios técnicos. Trabalha com o time para definir o escopo da demanda e ajusta as estimativas conforme surgem novos dados ou alterações no projeto.
</t>
    </r>
    <r>
      <rPr>
        <b/>
        <sz val="11"/>
        <color theme="1"/>
        <rFont val="Calibri"/>
        <family val="2"/>
        <scheme val="minor"/>
      </rPr>
      <t xml:space="preserve">Dev Frontend: </t>
    </r>
    <r>
      <rPr>
        <sz val="11"/>
        <color theme="1"/>
        <rFont val="Calibri"/>
        <family val="2"/>
        <scheme val="minor"/>
      </rPr>
      <t xml:space="preserve">Realiza uma análise detalhada das demandas relacionadas ao frontend, considerando aspectos como a interação do usuário, a compatibilidade entre navegadores e dispositivos, e as dependências externas (como APIs e serviços). Fornece estimativas realistas de tempo para o desenvolvimento das funcionalidades solicitadas, incluindo o tempo necessário para realizar ajustes no design, realizar testes de usabilidade e garantir uma experiência consistente para os usuários finais.
Colabora na definição das tarefas e prazos do projeto, ajustando a estimativa de tempo com base em discussões e feedbacks com outros times.
</t>
    </r>
    <r>
      <rPr>
        <b/>
        <sz val="11"/>
        <color theme="1"/>
        <rFont val="Calibri"/>
        <family val="2"/>
        <scheme val="minor"/>
      </rPr>
      <t xml:space="preserve">Q.A.: </t>
    </r>
    <r>
      <rPr>
        <sz val="11"/>
        <color theme="1"/>
        <rFont val="Calibri"/>
        <family val="2"/>
        <scheme val="minor"/>
      </rPr>
      <t>Realiza uma análise detalhada das demandas de testes e propõe uma estimativa de esforço para validação, considerando o escopo do projeto, os tipos de testes necessários (funcionais, de integração, etc.) e as tecnologias envolvidas. Planeja estratégias de testes para garantir que todas as funcionalidades sejam validadas de acordo com os requisitos, considerando o impacto nas versões anteriores e possíveis interações com outras partes do sistema.
Colabora com a equipe de desenvolvimento, ajudando a ajustar a estimativa de tempo para testes de acordo com a complexidade da demanda e mudanças nos requisitos.</t>
    </r>
  </si>
  <si>
    <r>
      <rPr>
        <b/>
        <sz val="11"/>
        <color theme="1"/>
        <rFont val="Calibri"/>
        <family val="2"/>
        <scheme val="minor"/>
      </rPr>
      <t xml:space="preserve">Dev Backend: </t>
    </r>
    <r>
      <rPr>
        <sz val="11"/>
        <color theme="1"/>
        <rFont val="Calibri"/>
        <family val="2"/>
        <scheme val="minor"/>
      </rPr>
      <t xml:space="preserve">É especialista em análise de demandas no contexto do backend, sendo capaz de fornecer estimativas precisas para tarefas de alta complexidade, incluindo estimativas relacionadas à arquitetura, desempenho e escalabilidade.
Colabora com outros times (frontend, Q.A., DevOps) para garantir que todas as dependências e impactos das funcionalidades sejam compreendidos e considerados nas estimativas de tempo e recursos.
Lidera a definição das prioridades técnicas e realiza revisões de estimativas, ajustando o escopo da demanda conforme necessário para garantir que o prazo e a qualidade sejam mantidos.
</t>
    </r>
    <r>
      <rPr>
        <b/>
        <sz val="11"/>
        <color theme="1"/>
        <rFont val="Calibri"/>
        <family val="2"/>
        <scheme val="minor"/>
      </rPr>
      <t xml:space="preserve">Dev Frontend: </t>
    </r>
    <r>
      <rPr>
        <sz val="11"/>
        <color theme="1"/>
        <rFont val="Calibri"/>
        <family val="2"/>
        <scheme val="minor"/>
      </rPr>
      <t xml:space="preserve">Tem um profundo entendimento de todas as variáveis relacionadas ao frontend, sendo capaz de fornecer estimativas detalhadas e precisas para funcionalidades complexas, como integrações com serviços externos, personalizações de design e otimização para performance.
Lidera discussões sobre complexidade de demanda, identificando rapidamente os possíveis gargalos no desenvolvimento frontend e ajustando a estimativa de tempo para garantir que o produto final seja entregue com qualidade e dentro do prazo.
Treina outros membros da equipe em como realizar estimativas de frontend de forma eficaz, compartilhando as melhores práticas e soluções para situações complexas.
</t>
    </r>
    <r>
      <rPr>
        <b/>
        <sz val="11"/>
        <color theme="1"/>
        <rFont val="Calibri"/>
        <family val="2"/>
        <scheme val="minor"/>
      </rPr>
      <t xml:space="preserve">Q.A.: </t>
    </r>
    <r>
      <rPr>
        <sz val="11"/>
        <color theme="1"/>
        <rFont val="Calibri"/>
        <family val="2"/>
        <scheme val="minor"/>
      </rPr>
      <t>Lidera a análise de requisitos e estimativa de testes, desenvolvendo planos de testes completos e precisos para demandas de alta complexidade, considerando diferentes tipos de testes (unitários, integração, performance, etc.).
Oferece consultoria sobre estimativas de esforço para o time, identificando rapidamente os riscos e desafios relacionados a cada demanda e fornecendo uma visão clara sobre o tempo necessário para validar a funcionalidade.
Capacita outros membros da equipe de QA para realizar estimativas precisas de tempo e esforço com base nas práticas de teste adotadas, ajudando a desenvolver uma abordagem mais eficiente para a validação de demandas.</t>
    </r>
  </si>
  <si>
    <r>
      <rPr>
        <b/>
        <sz val="11"/>
        <color rgb="FF000000"/>
        <rFont val="Calibri"/>
        <scheme val="minor"/>
      </rPr>
      <t xml:space="preserve">Dev: </t>
    </r>
    <r>
      <rPr>
        <sz val="11"/>
        <color rgb="FF000000"/>
        <rFont val="Calibri"/>
        <scheme val="minor"/>
      </rPr>
      <t xml:space="preserve">Compreende a importância da documentação técnica e dos diagramas (fluxogramas, UML) para o entendimento e a comunicação dos processos de backend. Consegue gerar documentação simples, descrevendo APIs, fluxos de dados e integrações com outros sistemas. Tem conhecimento básico de como usar o APIARY para documentar APIs, incluindo descrição de endpoints e parâmetros de forma funcional, mas pode precisar de ajuda para situações mais complexas.
</t>
    </r>
    <r>
      <rPr>
        <b/>
        <sz val="11"/>
        <color rgb="FF000000"/>
        <rFont val="Calibri"/>
        <scheme val="minor"/>
      </rPr>
      <t xml:space="preserve">Q.A.: </t>
    </r>
    <r>
      <rPr>
        <sz val="11"/>
        <color rgb="FF000000"/>
        <rFont val="Calibri"/>
        <scheme val="minor"/>
      </rPr>
      <t xml:space="preserve">Compreende a importância de uma documentação clara para apoiar os testes e facilita a comunicação com o time de desenvolvimento.
Auxilia na geração de fluxogramas de testes, descrevendo os cenários e etapas de validação, e consegue gerar uma documentação básica de testes.
Tem um entendimento básico de como utilizar o APIARY para validar a documentação das APIs e garantir que o que está descrito seja testável e de acordo com os requisitos do projeto.
</t>
    </r>
    <r>
      <rPr>
        <b/>
        <sz val="11"/>
        <color rgb="FF000000"/>
        <rFont val="Calibri"/>
        <scheme val="minor"/>
      </rPr>
      <t xml:space="preserve">DevOps: </t>
    </r>
    <r>
      <rPr>
        <sz val="11"/>
        <color rgb="FF000000"/>
        <rFont val="Calibri"/>
        <scheme val="minor"/>
      </rPr>
      <t>Compreende a importância da documentação técnica em processos de integração contínua (CI) e entrega contínua (CD), sendo capaz de gerar uma documentação básica que descreva o pipeline, fluxos de deploy e processos automatizados. Produz fluxogramas para descrever processos de automação e integrações de sistemas e gera documentação simples de APIs no APIARY, principalmente para a integração com serviços de monitoramento e controle de deploy.</t>
    </r>
  </si>
  <si>
    <r>
      <rPr>
        <b/>
        <sz val="11"/>
        <color rgb="FF000000"/>
        <rFont val="Calibri"/>
        <scheme val="minor"/>
      </rPr>
      <t>Dev:</t>
    </r>
    <r>
      <rPr>
        <sz val="11"/>
        <color rgb="FF000000"/>
        <rFont val="Calibri"/>
        <scheme val="minor"/>
      </rPr>
      <t xml:space="preserve"> Gera documentação técnica detalhada para sistemas, incluindo fluxogramas e diagramas UML para descrever os processos e interações do sistema.
Produz documentação de APIs usando o APIARY, detalhando todos os endpoints, parâmetros, e fluxos de requisições/respostas.
Consegue usar a documentação como um guia prático para a construção de novos módulos e para integração com outros times (QA, etc.).
É capaz de atualizar documentações técnicas do portal de arquitetura, incluindo descritivos e fluxograma.
</t>
    </r>
    <r>
      <rPr>
        <b/>
        <sz val="11"/>
        <color rgb="FF000000"/>
        <rFont val="Calibri"/>
        <scheme val="minor"/>
      </rPr>
      <t>Q.A</t>
    </r>
    <r>
      <rPr>
        <sz val="11"/>
        <color rgb="FF000000"/>
        <rFont val="Calibri"/>
        <scheme val="minor"/>
      </rPr>
      <t xml:space="preserve">.: Produz e mantém documentação de testes detalhada, incluindo fluxogramas que representam os cenários de testes e seus respectivos resultados esperados.
Utiliza APIARY para validar a documentação das APIs, garantindo que todos os detalhes necessários para o teste estejam disponíveis, como parâmetros de entrada, exemplos de resposta e erros comuns.
Auxilia outros times a integrar a documentação de testes com o ciclo de vida do desenvolvimento e garantir que todos os cenários sejam cobertos.
</t>
    </r>
    <r>
      <rPr>
        <b/>
        <sz val="11"/>
        <color rgb="FF000000"/>
        <rFont val="Calibri"/>
        <scheme val="minor"/>
      </rPr>
      <t>DevOps:</t>
    </r>
    <r>
      <rPr>
        <sz val="11"/>
        <color rgb="FF000000"/>
        <rFont val="Calibri"/>
        <scheme val="minor"/>
      </rPr>
      <t xml:space="preserve"> Gera documentação técnica detalhada dos processos de deploy, integração e monitoramento no contexto de DevOps, utilizando fluxogramas para ilustrar os fluxos de automação e integração.
Produz documentação clara e precisa usando APIARY para descrever as APIs utilizadas no processo de automação, integração e monitoramento.
Facilita a integração e o alinhamento entre os diferentes times (backend, frontend, QA) com relação aos processos e fluxos de entrega contínua.</t>
    </r>
  </si>
  <si>
    <r>
      <rPr>
        <b/>
        <sz val="11"/>
        <color rgb="FF000000"/>
        <rFont val="Calibri"/>
        <scheme val="minor"/>
      </rPr>
      <t xml:space="preserve">Dev: </t>
    </r>
    <r>
      <rPr>
        <sz val="11"/>
        <color rgb="FF000000"/>
        <rFont val="Calibri"/>
        <scheme val="minor"/>
      </rPr>
      <t xml:space="preserve">É expert na documentação técnica, criando diagramas UML e fluxogramas complexos que detalham a arquitetura do sistema, componentes e fluxos de dados.
Lidera a documentação de APIs usando o APIARY, criando especificações completas e detalhadas que incluem todos os casos de uso, erros e exceções possíveis.
Desenvolve melhores práticas para a documentação, treinando outros membros da equipe para gerar e manter documentação clara e útil.
Ajuda a fomentar para o time a necessidade de manter o portal de arquitetura atualizado, sempre que um fluxo mudar.
</t>
    </r>
    <r>
      <rPr>
        <b/>
        <sz val="11"/>
        <color rgb="FF000000"/>
        <rFont val="Calibri"/>
        <scheme val="minor"/>
      </rPr>
      <t xml:space="preserve">Q.A.: </t>
    </r>
    <r>
      <rPr>
        <sz val="11"/>
        <color rgb="FF000000"/>
        <rFont val="Calibri"/>
        <scheme val="minor"/>
      </rPr>
      <t xml:space="preserve">É especialista na documentação de testes e fluxogramas de cenários de testes, criando representações visuais detalhadas para cobrir todas as possíveis interações e casos de erro.
É capaz de gerar documentação de testes API, detalhando a validação de parâmetros, respostas e erros, e garantindo a consistência entre o que é documentado e o que é testado.
Lidera treinamentos sobre como criar documentação eficiente de testes, proporcionando clareza e melhoria no processo de validação e cobertura de funcionalidades. </t>
    </r>
    <r>
      <rPr>
        <b/>
        <sz val="11"/>
        <color rgb="FF000000"/>
        <rFont val="Calibri"/>
        <scheme val="minor"/>
      </rPr>
      <t xml:space="preserve">(Não é necessario realizar criação de novas documentações no Apiary apenas manter as validações).
DevOps: </t>
    </r>
    <r>
      <rPr>
        <sz val="11"/>
        <color rgb="FF000000"/>
        <rFont val="Calibri"/>
        <scheme val="minor"/>
      </rPr>
      <t>É expert na documentação de processos de CI/CD e automação, criando fluxogramas e diagramas detalhados sobre o pipeline de integração e entrega contínua.
Utiliza APIARY para documentar as integrações de APIs relacionadas ao monitoramento, deploy e automação, garantindo que a equipe tenha uma visão clara e precisa de todas as interações do sistema.
Treina a equipe sobre como criar e manter documentação técnica de forma eficaz, garantindo que todos os processos de DevOps sejam bem compreendidos e seguidos por todos os envolvidos.</t>
    </r>
  </si>
  <si>
    <r>
      <rPr>
        <b/>
        <sz val="11"/>
        <color theme="1"/>
        <rFont val="Calibri"/>
        <family val="2"/>
        <scheme val="minor"/>
      </rPr>
      <t xml:space="preserve">Dev Backend: </t>
    </r>
    <r>
      <rPr>
        <sz val="11"/>
        <color theme="1"/>
        <rFont val="Calibri"/>
        <family val="2"/>
        <scheme val="minor"/>
      </rPr>
      <t xml:space="preserve">Tem conhecimento básico sobre o TFS e como ele pode ser usado para automatizar a criação e build de aplicações backend.
Consegue executar builds simples de código no TFS, mas ainda não tem total domínio sobre a configuração avançada ou criação de pipelines complexos.
Auxilia a equipe de DevOps e outros desenvolvedores no uso de builds automatizados de maneira limitada.
</t>
    </r>
    <r>
      <rPr>
        <b/>
        <sz val="11"/>
        <color theme="1"/>
        <rFont val="Calibri"/>
        <family val="2"/>
        <scheme val="minor"/>
      </rPr>
      <t xml:space="preserve">Dev Frontend: </t>
    </r>
    <r>
      <rPr>
        <sz val="11"/>
        <color theme="1"/>
        <rFont val="Calibri"/>
        <family val="2"/>
        <scheme val="minor"/>
      </rPr>
      <t xml:space="preserve">Tem noções básicas de TFS, entende a importância da automatização de builds e consegue realizar builds simples.
Utiliza o TFS para executar tarefas de integração contínua, mas ainda não está envolvido em configurações complexas de pipelines ou em otimizações mais avançadas.
</t>
    </r>
    <r>
      <rPr>
        <b/>
        <sz val="11"/>
        <color theme="1"/>
        <rFont val="Calibri"/>
        <family val="2"/>
        <scheme val="minor"/>
      </rPr>
      <t xml:space="preserve">Q.A.: </t>
    </r>
    <r>
      <rPr>
        <sz val="11"/>
        <color theme="1"/>
        <rFont val="Calibri"/>
        <family val="2"/>
        <scheme val="minor"/>
      </rPr>
      <t xml:space="preserve">Tem conhecimento básico sobre o uso do TFS para verificar a execução de builds automatizados, especialmente em relação ao controle de versões e à validação de builds de desenvolvimento.
Acompanha a execução de testes automatizados nos pipelines, mas ainda não tem envolvimento na configuração das builds ou na criação de processos de integração contínua.
</t>
    </r>
    <r>
      <rPr>
        <b/>
        <sz val="11"/>
        <color theme="1"/>
        <rFont val="Calibri"/>
        <family val="2"/>
        <scheme val="minor"/>
      </rPr>
      <t xml:space="preserve">DevOps: </t>
    </r>
    <r>
      <rPr>
        <sz val="11"/>
        <color theme="1"/>
        <rFont val="Calibri"/>
        <family val="2"/>
        <scheme val="minor"/>
      </rPr>
      <t>Possui conhecimento básico sobre a criação e configuração de builds no TFS, configurando pipelines simples de build e deployment.
Realiza builds com frequência e garante que as integrações de código sejam feitas de forma automatizada, mas precisa de suporte em configurações avançadas e em boas práticas de automação de builds.</t>
    </r>
  </si>
  <si>
    <r>
      <rPr>
        <b/>
        <sz val="11"/>
        <color theme="1"/>
        <rFont val="Calibri"/>
        <family val="2"/>
        <scheme val="minor"/>
      </rPr>
      <t xml:space="preserve">Dev Backend: </t>
    </r>
    <r>
      <rPr>
        <sz val="11"/>
        <color theme="1"/>
        <rFont val="Calibri"/>
        <family val="2"/>
        <scheme val="minor"/>
      </rPr>
      <t xml:space="preserve">Configura e cria builds no TFS, integrando o processo de build com as práticas de desenvolvimento contínuo e integração contínua.
Trabalha com pipelines de build automatizados, realizando ajustes nas configurações para garantir que a build do código backend seja bem-sucedida e sem falhas.
Detecta e resolve problemas comuns de builds, como conflitos de dependências e falhas no processo de compilação.
</t>
    </r>
    <r>
      <rPr>
        <b/>
        <sz val="11"/>
        <color theme="1"/>
        <rFont val="Calibri"/>
        <family val="2"/>
        <scheme val="minor"/>
      </rPr>
      <t xml:space="preserve">Dev Frontend: </t>
    </r>
    <r>
      <rPr>
        <sz val="11"/>
        <color theme="1"/>
        <rFont val="Calibri"/>
        <family val="2"/>
        <scheme val="minor"/>
      </rPr>
      <t xml:space="preserve">Configura e executa builds automatizados no TFS para integrar o código frontend.
Consegue ajustar pipelines e modificar a configuração de build para otimizar a construção e deploy do código frontend.
Trabalha com a equipe de DevOps para resolver problemas relacionados ao processo de build e garantir que o código frontend seja corretamente testado e integrado.
</t>
    </r>
    <r>
      <rPr>
        <b/>
        <sz val="11"/>
        <color theme="1"/>
        <rFont val="Calibri"/>
        <family val="2"/>
        <scheme val="minor"/>
      </rPr>
      <t xml:space="preserve">Q.A.: </t>
    </r>
    <r>
      <rPr>
        <sz val="11"/>
        <color theme="1"/>
        <rFont val="Calibri"/>
        <family val="2"/>
        <scheme val="minor"/>
      </rPr>
      <t xml:space="preserve">Trabalha com builds automatizados no TFS, garantindo que os testes automatizados sejam executados como parte do pipeline de CI/CD.
Configura e monitora testes automatizados nos processos de build para validar o código constantemente.
Colabora com os desenvolvedores para identificar e corrigir problemas durante a execução das builds automatizadas.
</t>
    </r>
    <r>
      <rPr>
        <b/>
        <sz val="11"/>
        <color theme="1"/>
        <rFont val="Calibri"/>
        <family val="2"/>
        <scheme val="minor"/>
      </rPr>
      <t xml:space="preserve">DevOps: </t>
    </r>
    <r>
      <rPr>
        <sz val="11"/>
        <color theme="1"/>
        <rFont val="Calibri"/>
        <family val="2"/>
        <scheme val="minor"/>
      </rPr>
      <t>É responsável por configurar e criar pipelines no TFS, criando builds automatizados para backend e frontend, além de configurar o deployment contínuo.
Garante que o processo de integração contínua (CI) esteja configurado de forma eficiente no TFS, automatizando builds, testes e deploys.
Soluciona problemas de build e trabalha para otimizar a performance do processo de integração contínua.</t>
    </r>
  </si>
  <si>
    <r>
      <rPr>
        <b/>
        <sz val="11"/>
        <color theme="1"/>
        <rFont val="Calibri"/>
        <family val="2"/>
        <scheme val="minor"/>
      </rPr>
      <t xml:space="preserve">Dev Backend: </t>
    </r>
    <r>
      <rPr>
        <sz val="11"/>
        <color theme="1"/>
        <rFont val="Calibri"/>
        <family val="2"/>
        <scheme val="minor"/>
      </rPr>
      <t xml:space="preserve">É especialista em configuração e criação de builds no TFS, conseguindo criar pipelines de build avançados e adaptá-los conforme as necessidades do projeto.
Trabalha com integração contínua e deployment contínuo de forma fluida e automatizada, garantindo que o processo de build e deploy seja seguro, eficiente e confiável.
Treina a equipe em melhores práticas de build e atua como referência para a configuração de pipelines avançados no TFS.
</t>
    </r>
    <r>
      <rPr>
        <b/>
        <sz val="11"/>
        <color theme="1"/>
        <rFont val="Calibri"/>
        <family val="2"/>
        <scheme val="minor"/>
      </rPr>
      <t xml:space="preserve">Dev Frontend: </t>
    </r>
    <r>
      <rPr>
        <sz val="11"/>
        <color theme="1"/>
        <rFont val="Calibri"/>
        <family val="2"/>
        <scheme val="minor"/>
      </rPr>
      <t xml:space="preserve">Domina a configuração de builds no TFS para aplicações frontend, criando pipelines de build eficientes que garantem a entrega contínua e testes adequados do código.
Automatiza testes e deploy frontend, incluindo a integração com sistemas de controle de versão, garantindo que o código sempre passe por um processo automatizado de validação.
Treina outros desenvolvedores frontend e equipe de DevOps em como configurar e otimizar builds no TFS.
</t>
    </r>
    <r>
      <rPr>
        <b/>
        <sz val="11"/>
        <color theme="1"/>
        <rFont val="Calibri"/>
        <family val="2"/>
        <scheme val="minor"/>
      </rPr>
      <t xml:space="preserve">Q.A.: </t>
    </r>
    <r>
      <rPr>
        <sz val="11"/>
        <color theme="1"/>
        <rFont val="Calibri"/>
        <family val="2"/>
        <scheme val="minor"/>
      </rPr>
      <t xml:space="preserve">É especialista na integração de testes automatizados no TFS, garantindo que o pipeline de CI/CD execute testes abrangentes, integrados e confiáveis.
Configura testes de regressão, testes de integração e testes de carga como parte das builds automatizadas.
Treina a equipe de QA e desenvolvedores sobre como automatizar e integrar os testes no TFS para garantir uma entrega de código mais eficiente e de alta qualidade.
</t>
    </r>
    <r>
      <rPr>
        <b/>
        <sz val="11"/>
        <color theme="1"/>
        <rFont val="Calibri"/>
        <family val="2"/>
        <scheme val="minor"/>
      </rPr>
      <t xml:space="preserve">DevOps: </t>
    </r>
    <r>
      <rPr>
        <sz val="11"/>
        <color theme="1"/>
        <rFont val="Calibri"/>
        <family val="2"/>
        <scheme val="minor"/>
      </rPr>
      <t>É especialista na configuração avançada de pipelines no TFS, criando e ajustando builds, deploys e integrações contínuas para todos os sistemas (backend, frontend, API).
Implementa melhores práticas de CI/CD, ajustando as configurações para melhorar a velocidade e a confiabilidade dos processos de build e deploy.
Treina a equipe em estratégias avançadas de automação de builds e colabora com todas as áreas para otimizar o fluxo de trabalho automatizado.</t>
    </r>
  </si>
  <si>
    <r>
      <rPr>
        <b/>
        <sz val="11"/>
        <color theme="1"/>
        <rFont val="Calibri"/>
        <family val="2"/>
        <scheme val="minor"/>
      </rPr>
      <t xml:space="preserve">Dev Backend: </t>
    </r>
    <r>
      <rPr>
        <sz val="11"/>
        <color theme="1"/>
        <rFont val="Calibri"/>
        <family val="2"/>
        <scheme val="minor"/>
      </rPr>
      <t xml:space="preserve">Entende a estrutura básica do SQL Server e é capaz de criar queries simples para obter dados necessários para a aplicação backend.
Consegue executar queries de consulta básica, como SELECTs e JOINs, mas precisa de orientação para questões mais complexas.
</t>
    </r>
    <r>
      <rPr>
        <b/>
        <sz val="11"/>
        <color theme="1"/>
        <rFont val="Calibri"/>
        <family val="2"/>
        <scheme val="minor"/>
      </rPr>
      <t xml:space="preserve">Dev Frontend: </t>
    </r>
    <r>
      <rPr>
        <sz val="11"/>
        <color theme="1"/>
        <rFont val="Calibri"/>
        <family val="2"/>
        <scheme val="minor"/>
      </rPr>
      <t xml:space="preserve">Tem conhecimento básico de SQL Server para realizar consultas simples relacionadas aos dados que precisam ser exibidos na interface frontend.
Pode realizar queries simples como SELECTs, mas depende de desenvolvedores backend para queries mais avançadas ou para otimizar o desempenho das consultas.
</t>
    </r>
    <r>
      <rPr>
        <b/>
        <sz val="11"/>
        <color theme="1"/>
        <rFont val="Calibri"/>
        <family val="2"/>
        <scheme val="minor"/>
      </rPr>
      <t xml:space="preserve">Q.A.: </t>
    </r>
    <r>
      <rPr>
        <sz val="11"/>
        <color theme="1"/>
        <rFont val="Calibri"/>
        <family val="2"/>
        <scheme val="minor"/>
      </rPr>
      <t xml:space="preserve">Entende como escrever e executar queries simples no SQL Server, sendo capaz de consultar dados diretamente no banco para validar a execução dos testes e garantir que as informações necessárias estão disponíveis para a automação de testes.
Pode escrever queries básicas para verificar a consistência dos dados entre as diferentes etapas de um teste.
</t>
    </r>
    <r>
      <rPr>
        <b/>
        <sz val="11"/>
        <color theme="1"/>
        <rFont val="Calibri"/>
        <family val="2"/>
        <scheme val="minor"/>
      </rPr>
      <t xml:space="preserve">DevOps: </t>
    </r>
    <r>
      <rPr>
        <sz val="11"/>
        <color theme="1"/>
        <rFont val="Calibri"/>
        <family val="2"/>
        <scheme val="minor"/>
      </rPr>
      <t xml:space="preserve">
Tem conhecimento básico sobre SQL Server e consegue criar queries simples para obter informações úteis sobre a infraestrutura de banco de dados, como status de performance ou dados de logs.
Executa consultas simples para monitorar ou validar o ambiente de banco de dados no contexto de deploy ou integração contínua.</t>
    </r>
  </si>
  <si>
    <r>
      <rPr>
        <b/>
        <sz val="11"/>
        <color theme="1"/>
        <rFont val="Calibri"/>
        <family val="2"/>
        <scheme val="minor"/>
      </rPr>
      <t xml:space="preserve">Dev Backend: </t>
    </r>
    <r>
      <rPr>
        <sz val="11"/>
        <color theme="1"/>
        <rFont val="Calibri"/>
        <family val="2"/>
        <scheme val="minor"/>
      </rPr>
      <t xml:space="preserve">Cria e otimiza queries complexas no SQL Server para manipulação de dados dentro da aplicação backend, utilizando SELECTs avançados, JOINs, agrupamento e funções agregadas.
Executa consultas eficientes, com foco em performance, utilizando índices, transações e operações em grandes volumes de dados.
Trabalha com a equipe para garantir que as queries sejam eficientes e não impactem negativamente o desempenho da aplicação.
</t>
    </r>
    <r>
      <rPr>
        <b/>
        <sz val="11"/>
        <color theme="1"/>
        <rFont val="Calibri"/>
        <family val="2"/>
        <scheme val="minor"/>
      </rPr>
      <t xml:space="preserve">Dev Frontend: </t>
    </r>
    <r>
      <rPr>
        <sz val="11"/>
        <color theme="1"/>
        <rFont val="Calibri"/>
        <family val="2"/>
        <scheme val="minor"/>
      </rPr>
      <t xml:space="preserve">Escreve queries intermediárias no SQL Server para buscar e filtrar dados necessários à apresentação frontend.
Trabalha com o time de backend para ajustar queries de acordo com as necessidades do sistema de frontend e melhora a eficiência das consultas que interagem diretamente com o banco de dados.
Pode ser capaz de realizar consultas SQL em dados temporários ou de cache para otimizar o tempo de resposta do sistema.
</t>
    </r>
    <r>
      <rPr>
        <b/>
        <sz val="11"/>
        <color theme="1"/>
        <rFont val="Calibri"/>
        <family val="2"/>
        <scheme val="minor"/>
      </rPr>
      <t xml:space="preserve">Q.A.: </t>
    </r>
    <r>
      <rPr>
        <sz val="11"/>
        <color theme="1"/>
        <rFont val="Calibri"/>
        <family val="2"/>
        <scheme val="minor"/>
      </rPr>
      <t xml:space="preserve">Escreve queries intermediárias para realizar validações e verificações de dados durante a execução dos testes, garantindo que as entradas e saídas do sistema estejam corretas.
Utiliza SQL Server para extrair dados e validar os resultados de testes de integração, testes de carga e testes de regressão, garantindo que a base de dados está sendo manipulada corretamente conforme esperado.
</t>
    </r>
    <r>
      <rPr>
        <b/>
        <sz val="11"/>
        <color theme="1"/>
        <rFont val="Calibri"/>
        <family val="2"/>
        <scheme val="minor"/>
      </rPr>
      <t xml:space="preserve">DevOps: </t>
    </r>
    <r>
      <rPr>
        <sz val="11"/>
        <color theme="1"/>
        <rFont val="Calibri"/>
        <family val="2"/>
        <scheme val="minor"/>
      </rPr>
      <t>Cria e otimiza queries para monitoramento e manutenção da infraestrutura do banco de dados, incluindo consultas sobre desempenho, uso de recursos e logs de erros.
Utiliza SQL Server para gerar relatórios sobre o estado do banco de dados, ajudando na automação de tarefas de manutenção e integração contínua.</t>
    </r>
  </si>
  <si>
    <r>
      <rPr>
        <b/>
        <sz val="11"/>
        <color rgb="FF000000"/>
        <rFont val="Calibri"/>
        <scheme val="minor"/>
      </rPr>
      <t xml:space="preserve">Dev Backend: </t>
    </r>
    <r>
      <rPr>
        <sz val="11"/>
        <color rgb="FF000000"/>
        <rFont val="Calibri"/>
        <scheme val="minor"/>
      </rPr>
      <t xml:space="preserve">É especialista em SQL Server, criando queries complexas e otimizando consultas em grandes volumes de dados, utilizando técnicas avançadas de performance como índices, stored procedures, triggers e funções definidas pelo usuário.
Atua como referência na equipe para boas práticas de escrita de queries, focando em performance, escalabilidade e segurança.
Ensina e orienta os desenvolvedores em como escrever queries otimizadas e integrá-las de forma eficiente com a aplicação backend.
</t>
    </r>
    <r>
      <rPr>
        <b/>
        <sz val="11"/>
        <color rgb="FF000000"/>
        <rFont val="Calibri"/>
        <scheme val="minor"/>
      </rPr>
      <t xml:space="preserve">Dev Frontend: </t>
    </r>
    <r>
      <rPr>
        <sz val="11"/>
        <color rgb="FF000000"/>
        <rFont val="Calibri"/>
        <scheme val="minor"/>
      </rPr>
      <t xml:space="preserve">É especialista em escrever consultas SQL para frontend, otimiza a forma como o backend consulta dados para melhorar a performance da interface, mantendo a aplicação frontend rápida e eficiente.
Colabora com os desenvolvedores backend para criar queries eficientes e escaláveis, garantindo que os dados requisitados pela interface sejam entregues no menor tempo possível.
</t>
    </r>
    <r>
      <rPr>
        <b/>
        <sz val="11"/>
        <color rgb="FF000000"/>
        <rFont val="Calibri"/>
        <scheme val="minor"/>
      </rPr>
      <t xml:space="preserve">Q.A.: </t>
    </r>
    <r>
      <rPr>
        <sz val="11"/>
        <color rgb="FF000000"/>
        <rFont val="Calibri"/>
        <scheme val="minor"/>
      </rPr>
      <t xml:space="preserve">É especialista em SQL Server para validação de dados em testes e cria consultas complexas para validar resultados de testes de integração, funcionalidade, performance e segurança.
Implementa e otimiza queries para verificar dados de diferentes fontes de dados, garantindo que os testes automatizados sejam completos e confiáveis.
Ensina outros membros do time de QA a escrever e otimizar queries no SQL Server para melhorar a qualidade dos testes.
</t>
    </r>
    <r>
      <rPr>
        <b/>
        <sz val="11"/>
        <color rgb="FF000000"/>
        <rFont val="Calibri"/>
        <scheme val="minor"/>
      </rPr>
      <t xml:space="preserve">DevOps:
</t>
    </r>
    <r>
      <rPr>
        <sz val="11"/>
        <color rgb="FF000000"/>
        <rFont val="Calibri"/>
        <scheme val="minor"/>
      </rPr>
      <t>É especialista na criação de queries avançadas no SQL Server para otimização de performance, análise de logs e análise proativa de métricas de banco de dados.
Trabalha para melhorar e otimizar consultas para integração contínua e deploy, garantindo que a infraestrutura do banco de dados esteja sempre com alto desempenho e confiabilidade.
Treina a equipe de DevOps e outros times sobre consultas SQL eficientes e como usá-las para melhorar a integração e o monitoramento do ambiente de banco de dados.</t>
    </r>
  </si>
  <si>
    <r>
      <rPr>
        <b/>
        <sz val="11"/>
        <color theme="1"/>
        <rFont val="Calibri"/>
        <family val="2"/>
        <scheme val="minor"/>
      </rPr>
      <t xml:space="preserve">Dev Backend: </t>
    </r>
    <r>
      <rPr>
        <sz val="11"/>
        <color theme="1"/>
        <rFont val="Calibri"/>
        <family val="2"/>
        <scheme val="minor"/>
      </rPr>
      <t xml:space="preserve">Conhece as ferramentas básicas de gerenciamento de banco de dados, como o SQL Server Management Studio (SSMS) e o Query Plan, podendo realizar tarefas simples, como ver o status do banco de dados e executar queries.
Tem noções básicas de utilização do Profiler para identificar problemas de performance em suas consultas, mas depende de orientação para otimizar o ambiente de banco de dados.
</t>
    </r>
    <r>
      <rPr>
        <b/>
        <sz val="11"/>
        <color theme="1"/>
        <rFont val="Calibri"/>
        <family val="2"/>
        <scheme val="minor"/>
      </rPr>
      <t xml:space="preserve">Dev Frontend: </t>
    </r>
    <r>
      <rPr>
        <sz val="11"/>
        <color theme="1"/>
        <rFont val="Calibri"/>
        <family val="2"/>
        <scheme val="minor"/>
      </rPr>
      <t>Tem noções básicas de gerenciamento de banco de dados e usa ferramentas como o SQL Server Management Studio para consultas simples, mas não interage frequentemente com a administração do banco.
Utiliza ferramentas como Query Plan para validar a forma como suas consultas estão sendo executadas, mas não se envolve diretamente na gestão do banco de dados.</t>
    </r>
  </si>
  <si>
    <r>
      <rPr>
        <b/>
        <sz val="11"/>
        <color theme="1"/>
        <rFont val="Calibri"/>
        <family val="2"/>
        <scheme val="minor"/>
      </rPr>
      <t xml:space="preserve">Dev Backend: </t>
    </r>
    <r>
      <rPr>
        <sz val="11"/>
        <color theme="1"/>
        <rFont val="Calibri"/>
        <family val="2"/>
        <scheme val="minor"/>
      </rPr>
      <t xml:space="preserve">Usa ferramentas como SQL Server Management Studio (SSMS) para gerenciar e configurar bancos de dados no dia a dia, realizando tarefas como backup, restauração e ajustes de configurações de segurança.
Interpreta e otimiza o Query Plan para melhorar a performance das consultas, ajustando índices, realizando tuning de queries e configurando o banco para um desempenho ideal.
Utiliza o Profiler para monitorar e diagnosticar problemas de performance, identificando gargalos e sugerindo melhorias no banco de dados para garantir que o sistema atenda aos requisitos de performance.
</t>
    </r>
    <r>
      <rPr>
        <b/>
        <sz val="11"/>
        <color theme="1"/>
        <rFont val="Calibri"/>
        <family val="2"/>
        <scheme val="minor"/>
      </rPr>
      <t xml:space="preserve">Dev Frontend: </t>
    </r>
    <r>
      <rPr>
        <sz val="11"/>
        <color theme="1"/>
        <rFont val="Calibri"/>
        <family val="2"/>
        <scheme val="minor"/>
      </rPr>
      <t>Utiliza o SQL Server Management Studio para consultas de leitura de dados e validação da estrutura do banco de dados, colaborando com o time backend para entender como suas consultas afetam a performance do banco.
Utiliza Query Plan para verificar o desempenho das queries que impactam a interface, ajudando a garantir que as chamadas ao banco de dados sejam eficientes e não prejudique a experiência do usuário.
Monitoramento básico usando o Profiler para acompanhar o impacto das interações frontend sobre o banco de dados e sugerir melhorias junto ao time de backend.</t>
    </r>
  </si>
  <si>
    <r>
      <rPr>
        <b/>
        <sz val="11"/>
        <color theme="1"/>
        <rFont val="Calibri"/>
        <family val="2"/>
        <scheme val="minor"/>
      </rPr>
      <t xml:space="preserve">Dev Backend: </t>
    </r>
    <r>
      <rPr>
        <sz val="11"/>
        <color theme="1"/>
        <rFont val="Calibri"/>
        <family val="2"/>
        <scheme val="minor"/>
      </rPr>
      <t xml:space="preserve">Tem profundo conhecimento em ferramentas de gerenciamento de banco de dados, como SQL Server Management Studio (SSMS), Query Plan e Profiler, sendo capaz de realizar administração avançada de bancos de dados.
Executa tuning avançado de queries, analisando e ajustando as execuções de consultas para otimizar o desempenho em grandes volumes de dados. Realiza backups, restaurações e configurações avançadas, além de gerenciar índices e otimizar a estrutura do banco de dados para desempenho ideal.
Utiliza o Profiler para analisar e diagnosticar problemas de performance complexos, propondo soluções de melhoria contínua para o ambiente de banco de dados, impactando diretamente na performance do sistema como um todo.
Treina e orienta outros membros da equipe sobre boas práticas de gerenciamento de banco de dados, compartilhando conhecimentos sobre otimização de queries, uso eficiente de índices e monitoramento de performance.
</t>
    </r>
    <r>
      <rPr>
        <b/>
        <sz val="11"/>
        <color theme="1"/>
        <rFont val="Calibri"/>
        <family val="2"/>
        <scheme val="minor"/>
      </rPr>
      <t xml:space="preserve">Dev Frontend: </t>
    </r>
    <r>
      <rPr>
        <sz val="11"/>
        <color theme="1"/>
        <rFont val="Calibri"/>
        <family val="2"/>
        <scheme val="minor"/>
      </rPr>
      <t>Possui forte conhecimento nas ferramentas de gerenciamento de banco de dados, utilizando o SQL Server Management Studio, Query Plan e Profiler para otimizar interações frontend com o banco.
Trabalha de forma colaborativa com os times de backend para identificar e solucionar problemas de desempenho nas queries que impactam o frontend, utilizando o Profiler para monitorar o impacto das consultas na interface do usuário.
Ensina boas práticas de consulta e monitora de forma eficaz a execução das consultas que afetam diretamente a experiência do usuário no frontend, atuando como um ponto de contato entre os desenvolvedores frontend e backend para otimizar a comunicação com o banco de dados.</t>
    </r>
  </si>
  <si>
    <r>
      <rPr>
        <b/>
        <sz val="11"/>
        <color rgb="FF000000"/>
        <rFont val="Calibri"/>
        <scheme val="minor"/>
      </rPr>
      <t xml:space="preserve">Dev Backend: </t>
    </r>
    <r>
      <rPr>
        <sz val="11"/>
        <color rgb="FF000000"/>
        <rFont val="Calibri"/>
        <scheme val="minor"/>
      </rPr>
      <t xml:space="preserve">Entende os conceitos básicos do RabbitMQ, como filas, exchanges e mensagens.
Consegue configurar uma conexão simples com o RabbitMQ e criar filas básicas para enviar e receber mensagens.
Sabe a importância do RabbitMQ no contexto de sistemas distribuídos e comunicação assíncrona, mas ainda depende de mais experiência para trabalhar com soluções complexas de mensageria.
</t>
    </r>
    <r>
      <rPr>
        <b/>
        <sz val="11"/>
        <color rgb="FF000000"/>
        <rFont val="Calibri"/>
        <scheme val="minor"/>
      </rPr>
      <t xml:space="preserve">Dev Frontend: </t>
    </r>
    <r>
      <rPr>
        <sz val="11"/>
        <color rgb="FF000000"/>
        <rFont val="Calibri"/>
        <scheme val="minor"/>
      </rPr>
      <t xml:space="preserve">Tem uma compreensão geral do RabbitMQ, mas seu uso direto é limitado.
Entende como RabbitMQ pode ser usado em comunicação assíncrona, principalmente quando o frontend precisa interagir com backends que utilizam mensageria para processamento em segundo plano.
Dependendo da arquitetura do sistema, pode interagir com a API que se comunica com o RabbitMQ, mas não se envolve diretamente no gerenciamento das filas.
</t>
    </r>
    <r>
      <rPr>
        <b/>
        <sz val="11"/>
        <color rgb="FF000000"/>
        <rFont val="Calibri"/>
        <scheme val="minor"/>
      </rPr>
      <t xml:space="preserve">Q.A.: </t>
    </r>
    <r>
      <rPr>
        <sz val="11"/>
        <color rgb="FF000000"/>
        <rFont val="Calibri"/>
        <scheme val="minor"/>
      </rPr>
      <t xml:space="preserve">Compreende como o RabbitMQ pode impactar os testes, principalmente quando se trabalha com sistemas assíncronos ou com mensagens em tempo real.
Consegue validar cenários de teste envolvendo a fila de mensagens, como verificar se a mensagem foi enviada, recebida e processada corretamente.
Precisa de orientação para configurar testes de integração que envolvam RabbitMQ, mas entende como seu comportamento pode afetar a execução dos testes.
</t>
    </r>
    <r>
      <rPr>
        <b/>
        <sz val="11"/>
        <color rgb="FF000000"/>
        <rFont val="Calibri"/>
        <scheme val="minor"/>
      </rPr>
      <t xml:space="preserve">DevOps: </t>
    </r>
    <r>
      <rPr>
        <sz val="11"/>
        <color rgb="FF000000"/>
        <rFont val="Calibri"/>
        <scheme val="minor"/>
      </rPr>
      <t>Compreende a configuração e manutenção básica do RabbitMQ, como instalação, configuração inicial e monitoramento de filas.
Sabe como integrar RabbitMQ em pipelines de CI/CD, garantindo que a infraestrutura de mensageria funcione adequadamente em todos os ambientes.</t>
    </r>
  </si>
  <si>
    <r>
      <rPr>
        <b/>
        <sz val="11"/>
        <color theme="1"/>
        <rFont val="Calibri"/>
        <family val="2"/>
        <scheme val="minor"/>
      </rPr>
      <t xml:space="preserve">Dev Backend: </t>
    </r>
    <r>
      <rPr>
        <sz val="11"/>
        <color theme="1"/>
        <rFont val="Calibri"/>
        <family val="2"/>
        <scheme val="minor"/>
      </rPr>
      <t xml:space="preserve">Configura e integra RabbitMQ com sistemas de backend para garantir a comunicação assíncrona entre diferentes componentes da aplicação.
Cria filas e exchanges para diferentes cenários de mensageria, utilizando padrões de troca (direct, topic, fanout) conforme a necessidade do sistema.
Trabalha com o gerenciamento de filas e consumo de mensagens, implementando estratégias de consumo de mensagens de forma eficiente e escalável.
Utiliza consumidores e produtores no RabbitMQ, tratando mensagens de forma adequada, garantindo que a arquitetura de mensageria seja resiliente e escalável.
</t>
    </r>
    <r>
      <rPr>
        <b/>
        <sz val="11"/>
        <color theme="1"/>
        <rFont val="Calibri"/>
        <family val="2"/>
        <scheme val="minor"/>
      </rPr>
      <t xml:space="preserve">Dev Frontend: </t>
    </r>
    <r>
      <rPr>
        <sz val="11"/>
        <color theme="1"/>
        <rFont val="Calibri"/>
        <family val="2"/>
        <scheme val="minor"/>
      </rPr>
      <t xml:space="preserve">Interage com RabbitMQ indiretamente, integrando o frontend com APIs que utilizam RabbitMQ para troca de mensagens, principalmente em arquiteturas reativas ou baseadas em eventos.
Monitora e valida interações com as filas via ferramentas de integração, como WebSockets ou outras tecnologias que fazem uso de mensagens assíncronas para atualizar o frontend com eventos em tempo real.
Trabalha com a equipe backend para garantir que a comunicação via RabbitMQ seja fluida e que a interface do usuário seja atualizada corretamente conforme as mensagens são enviadas e processadas.
</t>
    </r>
    <r>
      <rPr>
        <b/>
        <sz val="11"/>
        <color theme="1"/>
        <rFont val="Calibri"/>
        <family val="2"/>
        <scheme val="minor"/>
      </rPr>
      <t xml:space="preserve">Q.A.: </t>
    </r>
    <r>
      <rPr>
        <sz val="11"/>
        <color theme="1"/>
        <rFont val="Calibri"/>
        <family val="2"/>
        <scheme val="minor"/>
      </rPr>
      <t xml:space="preserve">Realiza testes de integração envolvendo RabbitMQ, validando que as mensagens sejam corretamente enviadas, recebidas e processadas.
Desenvolve cenários de teste para verificar o fluxo de mensagens, incluindo o manuseio de falhas, atrasos e reprocessamento de mensagens.
Verifica que as mensagens sejam entregues nas filas corretamente e valida a comunicação entre os diferentes sistemas que dependem do RabbitMQ.
</t>
    </r>
    <r>
      <rPr>
        <b/>
        <sz val="11"/>
        <color theme="1"/>
        <rFont val="Calibri"/>
        <family val="2"/>
        <scheme val="minor"/>
      </rPr>
      <t xml:space="preserve">DevOps: </t>
    </r>
    <r>
      <rPr>
        <sz val="11"/>
        <color theme="1"/>
        <rFont val="Calibri"/>
        <family val="2"/>
        <scheme val="minor"/>
      </rPr>
      <t>Configura e gerencia a infraestrutura do RabbitMQ, garantindo alta disponibilidade e escalabilidade da plataforma de mensageria.
Monitora e mantém a performance do RabbitMQ, ajustando parâmetros de configuração, recursos e tratando de filas com alto volume de mensagens.
Integra RabbitMQ com sistemas de monitoramento de infraestrutura, usando ferramentas para identificar problemas de performance ou mensagens não processadas.</t>
    </r>
  </si>
  <si>
    <r>
      <rPr>
        <b/>
        <sz val="11"/>
        <color rgb="FF000000"/>
        <rFont val="Calibri"/>
        <scheme val="minor"/>
      </rPr>
      <t xml:space="preserve">Dev Backend: </t>
    </r>
    <r>
      <rPr>
        <sz val="11"/>
        <color rgb="FF000000"/>
        <rFont val="Calibri"/>
        <scheme val="minor"/>
      </rPr>
      <t xml:space="preserve">Especialista no RabbitMQ, com experiência avançada na configuração, otimização e gestão de sistemas de mensageria distribuída.
Implementa soluções de mensageria complexas envolvendo múltiplas filas e exchanges, garantindo que o sistema seja eficiente, resiliente e escalável.
Ensina e orienta a equipe sobre boas práticas de mensageria com RabbitMQ, incluindo tópicos como transações, dead-letter queues, e estratégias para reprocessamento de mensagens em falhas.
</t>
    </r>
    <r>
      <rPr>
        <b/>
        <sz val="11"/>
        <color rgb="FF000000"/>
        <rFont val="Calibri"/>
        <scheme val="minor"/>
      </rPr>
      <t xml:space="preserve">Dev Frontend: </t>
    </r>
    <r>
      <rPr>
        <sz val="11"/>
        <color rgb="FF000000"/>
        <rFont val="Calibri"/>
        <scheme val="minor"/>
      </rPr>
      <t xml:space="preserve">Conhece profundamente como o RabbitMQ é usado para integrar sistemas de frontend com backend, principalmente em sistemas baseados em eventos ou notificações em tempo real.
Trabalha com estratégias avançadas de comunicação assíncrona, utilizando RabbitMQ para oferecer uma experiência de usuário mais responsiva e interativa.
Treina a equipe sobre melhores práticas de integração frontend com mensageria, abordando como gerenciar comunicação eficiente e atualização de dados em tempo real.
</t>
    </r>
    <r>
      <rPr>
        <b/>
        <sz val="11"/>
        <color rgb="FF000000"/>
        <rFont val="Calibri"/>
        <scheme val="minor"/>
      </rPr>
      <t xml:space="preserve">Q.A.: </t>
    </r>
    <r>
      <rPr>
        <sz val="11"/>
        <color rgb="FF000000"/>
        <rFont val="Calibri"/>
        <scheme val="minor"/>
      </rPr>
      <t xml:space="preserve">Tem expertise em testar sistemas baseados em mensageria com RabbitMQ, criando estratégias avançadas de testes para validar todos os cenários de entrega, consumo e processamento de mensagens.
Ensina outros membros do time de QA sobre as melhores práticas em testes de integração com RabbitMQ, promovendo a confiabilidade da plataforma de mensageria.
</t>
    </r>
    <r>
      <rPr>
        <b/>
        <sz val="11"/>
        <color rgb="FF000000"/>
        <rFont val="Calibri"/>
        <scheme val="minor"/>
      </rPr>
      <t xml:space="preserve">DevOps: </t>
    </r>
    <r>
      <rPr>
        <sz val="11"/>
        <color rgb="FF000000"/>
        <rFont val="Calibri"/>
        <scheme val="minor"/>
      </rPr>
      <t>É especialista em RabbitMQ, com experiência em implementação, monitoramento e manutenção em grande escala.
Garante alta disponibilidade e resiliência do RabbitMQ, configurando clusters, balanceamento de carga e backup/restauração de filas de mensagens.
Treina equipes sobre a melhor maneira de integrar RabbitMQ com sistemas de CI/CD e ajuda a resolver problemas complexos relacionados a desempenho e falhas no ambiente de produção.</t>
    </r>
  </si>
  <si>
    <t>Estruturas de arquivos XML e JSON</t>
  </si>
  <si>
    <r>
      <rPr>
        <b/>
        <sz val="11"/>
        <color rgb="FF000000"/>
        <rFont val="Calibri"/>
        <scheme val="minor"/>
      </rPr>
      <t xml:space="preserve">Dev Backend/Dev Fronted: </t>
    </r>
    <r>
      <rPr>
        <sz val="11"/>
        <color rgb="FF000000"/>
        <rFont val="Calibri"/>
        <scheme val="minor"/>
      </rPr>
      <t xml:space="preserve">Compreende os formatos de arquivos XML e JSON, entendendo sua estrutura, e sabe quando e por que utilizá-los.
Cria e manipula arquivos XML e JSON mas pode apresentar dependência de outras ferramentas ou bibliotecas para trabalhar com leitura e escrita desses arquivos.
Sabe as diferenças básicas entre JSON e XML em termos de desempenho, legibilidade e compatibilidade.
Entende a estrutura de arquivos JSON e XML, utilizando-os principalmente em interações com APIs (JSON) ou quando precisa consumir dados estruturados (XML).
Utiliza bibliotecas ou ferramentas externas para parsear ou gerar XML/JSON, sem profundidade na implementação de transformações manuais desses formatos e como são usados para transferir informações entre sistemas.
</t>
    </r>
    <r>
      <rPr>
        <b/>
        <sz val="11"/>
        <color rgb="FF000000"/>
        <rFont val="Calibri"/>
        <scheme val="minor"/>
      </rPr>
      <t xml:space="preserve">Q.A./DevOps: </t>
    </r>
    <r>
      <rPr>
        <sz val="11"/>
        <color rgb="FF000000"/>
        <rFont val="Calibri"/>
        <scheme val="minor"/>
      </rPr>
      <t>Cria e valida arquivos JSON e XML em cenários de teste, validando as informações e a estrutura correta desses dados, com uso de ferramentas adequadas.
Valida a consistência e integridade dos dados em arquivos JSON/XML, verificando que os dados estão bem formatados e atendem aos requisitos esperados.
Automatiza tarefas relacionadas a arquivos XML/JSON, como validação de formato ou transformação de dados em processos de integração contínua e deploy.</t>
    </r>
  </si>
  <si>
    <r>
      <rPr>
        <b/>
        <sz val="11"/>
        <color rgb="FF000000"/>
        <rFont val="Calibri"/>
        <scheme val="minor"/>
      </rPr>
      <t>Dev Backend/Dev Fronted:</t>
    </r>
    <r>
      <rPr>
        <sz val="11"/>
        <color rgb="FF000000"/>
        <rFont val="Calibri"/>
        <scheme val="minor"/>
      </rPr>
      <t xml:space="preserve"> Manipula XML e JSON em diversos cenários: leitura, escrita, parsing e transformação, utilizando ferramentas ou bibliotecas adequadas como o Altova para XML, para garantir a integridade dos dados.
Trabalha com XML e JSON no seu dia a dia, desenvolvendo soluções para tratar erros e inconsistências desses formatos.
Sabe como validar e transformar dados entre XML e JSON quando necessário (ex: usando XSLT ou bibliotecas de mapeamento entre objetos). Sabe como otimizar a performance ao lidar com grandes volumes de dados em JSON ou XML.
</t>
    </r>
    <r>
      <rPr>
        <b/>
        <sz val="11"/>
        <color rgb="FF000000"/>
        <rFont val="Calibri"/>
        <scheme val="minor"/>
      </rPr>
      <t xml:space="preserve">Q.A./DevOps: </t>
    </r>
    <r>
      <rPr>
        <sz val="11"/>
        <color rgb="FF000000"/>
        <rFont val="Calibri"/>
        <scheme val="minor"/>
      </rPr>
      <t>Cria e valida arquivos JSON e XML no Produto, desenvolve testes de integração e validação de dados JSON e XML, garantindo que os dados estejam bem formatados e sejam consistentes.
Testa a manipulação e a troca de dados entre diferentes sistemas, como quando há envio ou recebimento de arquivos JSON/XML via APIs ou outros canais.</t>
    </r>
  </si>
  <si>
    <r>
      <rPr>
        <b/>
        <sz val="11"/>
        <color rgb="FF000000"/>
        <rFont val="Calibri"/>
        <scheme val="minor"/>
      </rPr>
      <t>Dev Backend/Dev Fronted:</t>
    </r>
    <r>
      <rPr>
        <sz val="11"/>
        <color rgb="FF000000"/>
        <rFont val="Calibri"/>
        <scheme val="minor"/>
      </rPr>
      <t xml:space="preserve"> Especialista em manipulação de dados em XML e JSON, capaz de otimizar e escalar o tratamento de grandes volumes de dados.
Desenvolve soluções avançadas para transformar e validar dados entre diferentes formatos, utilizando ferramentas, como bibliotecas especializadas ou soluções customizadas.
Ensina a equipe sobre melhores práticas no uso de JSON e XML, como formatação, validação e manipulação eficiente.
Garante a alta performance na aplicação e minimiza problemas de manipulação de dados.
Implementa e resolve problemas complexos ao trabalhar com grandes volumes de dados ou formatos não estruturados.
Ensina técnicas avançadas de manipulação de JSON/XML na aplicação, incluindo melhores práticas de armazenamento, parsing e visualização.
</t>
    </r>
    <r>
      <rPr>
        <b/>
        <sz val="11"/>
        <color rgb="FF000000"/>
        <rFont val="Calibri"/>
        <scheme val="minor"/>
      </rPr>
      <t xml:space="preserve">Q.A.: </t>
    </r>
    <r>
      <rPr>
        <sz val="11"/>
        <color rgb="FF000000"/>
        <rFont val="Calibri"/>
        <scheme val="minor"/>
      </rPr>
      <t xml:space="preserve">Especialista na validação de dados JSON e XML durante todo o ciclo de desenvolvimento, desenvolvendo testes automatizados robustos e completos para garantir a qualidade da manipulação dos dados.
Ensina a equipe de QA sobre melhores práticas de testes de XML/JSON, incluindo validação de schemas, integridade de dados e estratégias de teste para sistemas assíncronos.
</t>
    </r>
    <r>
      <rPr>
        <b/>
        <sz val="11"/>
        <color rgb="FF000000"/>
        <rFont val="Calibri"/>
        <scheme val="minor"/>
      </rPr>
      <t xml:space="preserve">DevOps: </t>
    </r>
    <r>
      <rPr>
        <sz val="11"/>
        <color rgb="FF000000"/>
        <rFont val="Calibri"/>
        <scheme val="minor"/>
      </rPr>
      <t>Especialista em configuração e manipulação de XML/JSON em todas as etapas da automação e integração contínua, garantindo que todos os arquivos estejam bem formatados e que o sistema de mensageria, configuração e deploy funcione adequadamente.
Desenvolve soluções customizadas para lidar com a configuração de sistemas distribuídos que utilizam XML/JSON, otimizando o uso e tratamento desses dados no pipeline de CI/CD.
Ensina a equipe sobre boas práticas em integração contínua com arquivos XML e JSON, incluindo como automatizar a verificação e manipulação desses formatos.</t>
    </r>
  </si>
  <si>
    <r>
      <rPr>
        <b/>
        <sz val="11"/>
        <color theme="1"/>
        <rFont val="Calibri"/>
        <family val="2"/>
        <scheme val="minor"/>
      </rPr>
      <t xml:space="preserve">Dev Frontend: </t>
    </r>
    <r>
      <rPr>
        <sz val="11"/>
        <color theme="1"/>
        <rFont val="Calibri"/>
        <family val="2"/>
        <scheme val="minor"/>
      </rPr>
      <t xml:space="preserve">Conhece os fundamentos de testes automatizados e entende a importância da cobertura de testes em aplicações frontend.
Consegue escrever testes básicos no Cypress, utilizando seletores simples para verificar elementos na interface.
Executa e interpreta testes existentes, conseguindo identificar erros básicos e compreender falhas no log do Cypress.
Ainda precisa de auxílio para configurar corretamente os testes em um projeto.
</t>
    </r>
    <r>
      <rPr>
        <b/>
        <sz val="11"/>
        <color theme="1"/>
        <rFont val="Calibri"/>
        <family val="2"/>
        <scheme val="minor"/>
      </rPr>
      <t xml:space="preserve">Q.A.: </t>
    </r>
    <r>
      <rPr>
        <sz val="11"/>
        <color theme="1"/>
        <rFont val="Calibri"/>
        <family val="2"/>
        <scheme val="minor"/>
      </rPr>
      <t>Compreende os conceitos básicos de testes automatizados para frontend, incluindo tipos de testes (unitários, integração, e2e).
Consegue executar testes Cypress e interpretar logs para entender falhas.
Sabe utilizar seletores para encontrar elementos na página, mas pode ter dificuldades na escrita de testes mais complexos.
Necessita de suporte para criar novos testes do zero e configurar a execução em pipeline CI/CD.</t>
    </r>
  </si>
  <si>
    <r>
      <rPr>
        <b/>
        <sz val="11"/>
        <color rgb="FF000000"/>
        <rFont val="Calibri"/>
        <scheme val="minor"/>
      </rPr>
      <t xml:space="preserve">Dev Frontend: </t>
    </r>
    <r>
      <rPr>
        <sz val="11"/>
        <color rgb="FF000000"/>
        <rFont val="Calibri"/>
        <scheme val="minor"/>
      </rPr>
      <t xml:space="preserve">Escreve testes Cypress completos para fluxos de usuários no frontend, validando interações e comportamento da interface.
Utiliza boas práticas de automação, como reutilização de código em commands.js e configuração de fixtures para simular respostas da API.
Consegue configurar e executar os testes localmente e no CI/CD, garantindo que a suíte de testes seja executada corretamente antes do deploy.
Diagnostica falhas nos testes e refatora código para tornar os testes mais estáveis e eficientes.
</t>
    </r>
    <r>
      <rPr>
        <b/>
        <sz val="11"/>
        <color rgb="FF000000"/>
        <rFont val="Calibri"/>
        <scheme val="minor"/>
      </rPr>
      <t xml:space="preserve">Q.A.: </t>
    </r>
    <r>
      <rPr>
        <sz val="11"/>
        <color rgb="FF000000"/>
        <rFont val="Calibri"/>
        <scheme val="minor"/>
      </rPr>
      <t>Cria e mantém testes automatizados no Cypress, cobrindo cenários críticos do sistema.
Integra os testes ao pipeline de CI/CD, garantindo que sejam executados automaticamente antes da liberação de novas versões.
Trabalha em conjunto com desenvolvedores para identificar melhores práticas na escrita e manutenção dos testes automatizados.</t>
    </r>
  </si>
  <si>
    <r>
      <rPr>
        <b/>
        <sz val="11"/>
        <color theme="1"/>
        <rFont val="Calibri"/>
        <family val="2"/>
        <scheme val="minor"/>
      </rPr>
      <t xml:space="preserve">Dev Frontend: </t>
    </r>
    <r>
      <rPr>
        <sz val="11"/>
        <color theme="1"/>
        <rFont val="Calibri"/>
        <family val="2"/>
        <scheme val="minor"/>
      </rPr>
      <t xml:space="preserve">Desenvolve estratégias avançadas para testes automatizados, garantindo cobertura eficaz e minimizando testes flakey.
Otimiza a execução dos testes, reduzindo tempo de rodagem e melhorando a confiabilidade da suíte de testes.
Implementa melhores práticas de automação, incluindo paralelismo, uso eficiente de cy.intercept() e boas estratégias de seleção de elementos.
Conduz treinamentos para a equipe sobre boas práticas e estratégias de automação de testes frontend.
</t>
    </r>
    <r>
      <rPr>
        <b/>
        <sz val="11"/>
        <color theme="1"/>
        <rFont val="Calibri"/>
        <family val="2"/>
        <scheme val="minor"/>
      </rPr>
      <t xml:space="preserve">Q.A.: </t>
    </r>
    <r>
      <rPr>
        <sz val="11"/>
        <color theme="1"/>
        <rFont val="Calibri"/>
        <family val="2"/>
        <scheme val="minor"/>
      </rPr>
      <t>Define e mantém padrões de testes automatizados para garantir qualidade e confiabilidade das aplicações.
Trabalha na evolução do framework de testes Cypress, implementando melhorias e garantindo integração eficaz com CI/CD.
Identifica gargalos na automação de testes e propõe soluções para aumentar eficiência e cobertura.
Capacita outras equipes sobre estratégias avançadas de testes automatizados e revisa código de testes para manter a qualidade.</t>
    </r>
  </si>
  <si>
    <r>
      <rPr>
        <b/>
        <sz val="11"/>
        <color theme="1"/>
        <rFont val="Calibri"/>
        <family val="2"/>
        <scheme val="minor"/>
      </rPr>
      <t xml:space="preserve">Dev Backend / Dev Frontend: </t>
    </r>
    <r>
      <rPr>
        <sz val="11"/>
        <color theme="1"/>
        <rFont val="Calibri"/>
        <family val="2"/>
        <scheme val="minor"/>
      </rPr>
      <t xml:space="preserve">Compreende os conceitos básicos de segurança da informação e seu impacto no desenvolvimento de software.
Conhece o funcionamento de WAF (Web Application Firewall) e sua importância na proteção contra ataques como SQL Injection e XSS.
Entende o papel da CSP (Content Security Policy) para mitigar ataques baseados em scripts maliciosos.
Já teve contato com boas práticas de desenvolvimento seguro, mas ainda precisa de orientação para aplicá-las no dia a dia.
</t>
    </r>
    <r>
      <rPr>
        <b/>
        <sz val="11"/>
        <color theme="1"/>
        <rFont val="Calibri"/>
        <family val="2"/>
        <scheme val="minor"/>
      </rPr>
      <t xml:space="preserve">Q.A.: </t>
    </r>
    <r>
      <rPr>
        <sz val="11"/>
        <color theme="1"/>
        <rFont val="Calibri"/>
        <family val="2"/>
        <scheme val="minor"/>
      </rPr>
      <t xml:space="preserve">Conhece conceitos básicos de segurança em testes e as principais vulnerabilidades identificadas no OWASP Top 10.
Entende como um Pentest funciona e sua importância na detecção de falhas de segurança.
Consegue identificar problemas de segurança evidentes ao testar sistemas, como exposição de dados sensíveis e falhas na autenticação.
</t>
    </r>
    <r>
      <rPr>
        <b/>
        <sz val="11"/>
        <color theme="1"/>
        <rFont val="Calibri"/>
        <family val="2"/>
        <scheme val="minor"/>
      </rPr>
      <t xml:space="preserve">DevOps: </t>
    </r>
    <r>
      <rPr>
        <sz val="11"/>
        <color theme="1"/>
        <rFont val="Calibri"/>
        <family val="2"/>
        <scheme val="minor"/>
      </rPr>
      <t>Compreende a função do WAF e sua configuração básica para proteger APIs e aplicações web.
Entende a importância de logs e monitoramento para identificar tentativas de ataque.
Conhece ferramentas de segurança para análise de vulnerabilidades, mas ainda precisa de orientação para usá-las eficazmente.</t>
    </r>
  </si>
  <si>
    <r>
      <rPr>
        <b/>
        <sz val="11"/>
        <color theme="1"/>
        <rFont val="Calibri"/>
        <family val="2"/>
        <scheme val="minor"/>
      </rPr>
      <t xml:space="preserve">Dev Backend / Dev Frontend: </t>
    </r>
    <r>
      <rPr>
        <sz val="11"/>
        <color theme="1"/>
        <rFont val="Calibri"/>
        <family val="2"/>
        <scheme val="minor"/>
      </rPr>
      <t xml:space="preserve">Aplica boas práticas de desenvolvimento seguro, evitando injeção de código e manipulando dados de forma segura.
Implementa e ajusta regras de CSP (Content Security Policy) para mitigar ataques de Cross-Site Scripting (XSS).
Integra soluções de segurança ao código, como sanitização de entrada de dados e proteção contra CSRF.
Trabalha junto ao time de segurança para corrigir vulnerabilidades encontradas em testes de invasão (Pentest).
</t>
    </r>
    <r>
      <rPr>
        <b/>
        <sz val="11"/>
        <color theme="1"/>
        <rFont val="Calibri"/>
        <family val="2"/>
        <scheme val="minor"/>
      </rPr>
      <t xml:space="preserve">Q.A.: </t>
    </r>
    <r>
      <rPr>
        <sz val="11"/>
        <color theme="1"/>
        <rFont val="Calibri"/>
        <family val="2"/>
        <scheme val="minor"/>
      </rPr>
      <t xml:space="preserve">Realiza testes de segurança básicos para identificar vazamentos de informações sensíveis e falhas de autenticação.
Usa ferramentas de segurança, como OWASP ZAP e Burp Suite, para identificar vulnerabilidades comuns em aplicações web.
Trabalha em conjunto com desenvolvedores para validar correções de segurança e prevenir novas falhas.
</t>
    </r>
    <r>
      <rPr>
        <b/>
        <sz val="11"/>
        <color theme="1"/>
        <rFont val="Calibri"/>
        <family val="2"/>
        <scheme val="minor"/>
      </rPr>
      <t xml:space="preserve">DevOps: </t>
    </r>
    <r>
      <rPr>
        <sz val="11"/>
        <color theme="1"/>
        <rFont val="Calibri"/>
        <family val="2"/>
        <scheme val="minor"/>
      </rPr>
      <t>Configura e mantém WAF (Web Application Firewall) para proteger aplicações de ataques externos.
Implementa e monitora ferramentas de segurança em pipelines de CI/CD para evitar deploys com vulnerabilidades.
Integra soluções de monitoramento de segurança, como SIEM, Logs e Alertas, para detecção de ameaças em tempo real.</t>
    </r>
  </si>
  <si>
    <r>
      <rPr>
        <b/>
        <sz val="11"/>
        <color rgb="FF000000"/>
        <rFont val="Calibri"/>
        <scheme val="minor"/>
      </rPr>
      <t xml:space="preserve">Dev Backend / Dev Frontend: </t>
    </r>
    <r>
      <rPr>
        <sz val="11"/>
        <color rgb="FF000000"/>
        <rFont val="Calibri"/>
        <scheme val="minor"/>
      </rPr>
      <t xml:space="preserve">Atua na definição de padrões de segurança para o desenvolvimento, garantindo código seguro e atualizado.
Implementa e gerencia camadas avançadas de segurança, incluindo criptografia, tokenização e autenticação multifator (MFA).
Trabalha junto ao time de segurança para realizar Pentests contínuos e antecipar vulnerabilidades críticas.
Conduz treinamentos internos para educar desenvolvedores sobre práticas seguras e OWASP Top 10.
</t>
    </r>
    <r>
      <rPr>
        <b/>
        <sz val="11"/>
        <color rgb="FF000000"/>
        <rFont val="Calibri"/>
        <scheme val="minor"/>
      </rPr>
      <t xml:space="preserve">Q.A.: </t>
    </r>
    <r>
      <rPr>
        <sz val="11"/>
        <color rgb="FF000000"/>
        <rFont val="Calibri"/>
        <scheme val="minor"/>
      </rPr>
      <t xml:space="preserve">Realiza testes de segurança avançados, simulando ataques reais para avaliar a robustez da aplicação.
Define processos e ferramentas para garantir que testes de segurança sejam parte da pipeline de CI/CD.
Lidera treinamentos sobre segurança em testes e automação de Pentests.
</t>
    </r>
    <r>
      <rPr>
        <b/>
        <sz val="11"/>
        <color rgb="FF000000"/>
        <rFont val="Calibri"/>
        <scheme val="minor"/>
      </rPr>
      <t xml:space="preserve">DevOps: </t>
    </r>
    <r>
      <rPr>
        <sz val="11"/>
        <color rgb="FF000000"/>
        <rFont val="Calibri"/>
        <scheme val="minor"/>
      </rPr>
      <t>Garante a implementação de estratégias robustas de segurança em infraestrutura, como Zero Trust e segurança em cloud.
Trabalha com hardening de servidores e aplicações, minimizando superfícies de ataque.
Implementa ferramentas de segurança automatizadas, como SAST, DAST e monitoramento contínuo.
Treina times sobre segurança na esteira DevOps, garantindo um ciclo de desenvolvimento seguro e eficiente.</t>
    </r>
  </si>
  <si>
    <t>Compreende os fundamentos da lógica de programação, incluindo estruturas condicionais, loops e variáveis.
Entende a diferença entre tipos de dados e como usá-los em testes automatizados.
Sabe interpretar um código básico e identificar lógica incorreta ou inconsistências.
Já teve contato com algumas linguagens de script para automação, como JavaScript, Python ou C#, mas ainda precisa de apoio para desenvolver soluções mais complexas.</t>
  </si>
  <si>
    <t>Escreve scripts automatizados para apoiar a execução de testes e validações.
Usa estruturas de decisão e repetição para otimizar casos de teste.
Consegue ler e entender código-fonte de aplicações para identificar possíveis falhas lógicas.
Integra scripts em ferramentas de testes automatizados, como Cypress, Rabot Framework, C#.
Desenvolve pequenos algoritmos para validar regras de negócio e apoiar a equipe de desenvolvimento.</t>
  </si>
  <si>
    <t>Possui forte domínio em lógica de programação e aplica esse conhecimento na criação de testes avançados e automação de processos.
Desenvolve frameworks e bibliotecas para testes automatizados, tornando-os mais eficientes e reutilizáveis.
Apoia o time de desenvolvimento, revisando a lógica de implementação e garantindo a cobertura adequada de testes.
Conduz treinamentos sobre lógica de programação e boas práticas de automação de testes.
Sugere melhorias nos processos de automação, aplicando técnicas de programação avançadas.</t>
  </si>
  <si>
    <t>Conhece os conceitos básicos de teste de software, incluindo os tipos de testes (unitário, integração, funcional, regressão, entre outros).
Entende a diferença entre teste manual e teste automatizado.
Compreende o ciclo de vida de testes e sua importância no processo de desenvolvimento de software.
Sabe escrever casos de teste básicos, seguindo um roteiro ou especificação.
Conhece técnicas fundamentais, como particionamento de equivalência e análise de valores-limite.</t>
  </si>
  <si>
    <t>Aplica diferentes tipos de testes no contexto do projeto, garantindo qualidade e confiabilidade no software.
Cria e executa casos de teste detalhados, considerando cenários de sucesso e falha.
Trabalha com ferramentas de gestão de testes, como TestRail, Zephyr ou Azure Test Plans.
Participa da definição de critérios de aceitação e colabora com desenvolvedores na identificação e resolução de bugs.
Automatiza testes funcionais e de regressão, garantindo maior eficiência no processo de validação.</t>
  </si>
  <si>
    <t>É referência na equipe em estratégias de teste e garantia da qualidade.
Define processos e padrões para a execução de testes dentro do time, garantindo a cobertura eficiente e eficaz.
Desenvolve frameworks de automação para otimizar testes funcionais, de regressão e de performance.
Conduz treinamentos sobre boas práticas de teste de software, técnicas avançadas e tendências do mercado.
Atua na prevenção de defeitos, auxiliando no refinamento de requisitos e revisão de código com foco na qualidade.</t>
  </si>
  <si>
    <t>IIS - Publicações/ Utilizar/ Configurações</t>
  </si>
  <si>
    <t>Compreende o que é o IIS (Internet Information Services) e sua função no ambiente de hospedagem de aplicações web.
Sabe como acessar e navegar pela interface do IIS para verificar sites e aplicações configuradas.
Entende os conceitos básicos de bindings, pools de aplicativos e permissões.
Consegue seguir um passo a passo para publicar uma aplicação no IIS.
Consegue reiniciar serviços do IIS.</t>
  </si>
  <si>
    <t>Publica e configura aplicações no IIS, ajustando bindings, autenticação e diretórios virtuais conforme necessário.
Sabe configurar permissões de acesso, pools de aplicativos e variáveis de ambiente.</t>
  </si>
  <si>
    <t>Sabe habilitar os logs do IIS para fazer análise avançada de problemas
Treina e orienta o time na configuração e resolução de problemas relacionados ao IIS.
Trabalha com redirecionamentos, rewrites e configurações de URL, garantindo que as aplicações estejam acessíveis corretamente..
Consegue avaliar problemas mais complexos de funcionamento de APIs dentro do IIS</t>
  </si>
  <si>
    <t>Compreende os conceitos básicos de testes de carga e performance.
Conhece o K6 como ferramenta de automação para testes de performance.
Sabe instalar e configurar o K6 para executar testes básicos.
Consegue rodar scripts simples em JavaScript para validar a performance de uma API ou aplicação web.
Consegue interpretar métricas básicas como VU (Virtual Users), duração do teste e tempo de resposta.</t>
  </si>
  <si>
    <t>Cria e executa testes de carga e stress utilizando o K6 de forma eficiente.
Implementa cenários complexos com múltiplos usuários virtuais e diferentes perfis de requisição.
Analisa relatórios detalhados e identifica gargalos e problemas de performance nas aplicações testadas.
Integra o K6 com outras ferramentas como Grafana e Prometheus para visualização de métricas.
Consegue automatizar execuções de testes de performance dentro de pipelines CI/CD.</t>
  </si>
  <si>
    <t>É referência no time para estratégias de testes de performance e carga utilizando o K6.
Desenvolve estratégias avançadas para análise e otimização da performance das aplicações testadas.
Cria frameworks customizados dentro do K6 para facilitar a execução de testes em larga escala.
Treina e orienta o time sobre boas práticas em testes de performance e interpretação de métricas.
Realiza benchmarking e acompanha tendências do mercado para melhorar continuamente a estratégia de testes de performance.</t>
  </si>
  <si>
    <t>Entende os conceitos básicos de segurança da informação e testes de segurança em aplicações web.
Conhece o Burp Suite como ferramenta de interceptação e análise de tráfego HTTP/HTTPS.
Sabe instalar e configurar o Burp Suite para capturar requisições de um navegador.
Consegue utilizar a ferramenta para inspecionar requisições e respostas básicas de uma API ou aplicação web.
Compreende vulnerabilidades comuns que podem ser identificadas com o Burp Suite, como XSS e SQL Injection.</t>
  </si>
  <si>
    <t>Realiza testes de segurança utilizando Burp Suite para identificar falhas como Cross-Site Scripting (XSS), SQL Injection e CSRF.
Utiliza Burp Scanner para varreduras automáticas de vulnerabilidades em aplicações web.
Trabalha com o Intruder para testar ataques de força bruta e fuzzing em APIs e aplicações.
Configura e utiliza o Repeater e o Sequencer para manipular requisições e analisar respostas.
Documenta e reporta achados de segurança com base nas análises feitas no Burp Suite.</t>
  </si>
  <si>
    <t>Atua como referência em segurança de aplicações dentro do time de Q.A..
Desenvolve estratégias avançadas para testes de segurança, utilizando Burp Suite e outras ferramentas.
Realiza testes manuais e automatizados para identificar e mitigar riscos em aplicações web.
Treina e orienta o time sobre boas práticas de segurança, como OWASP Top 10.
Integra o Burp Suite com outras ferramentas de segurança para auditoria contínua.
Mantém-se atualizado sobre novas ameaças e tendências de segurança para aplicar nos testes.</t>
  </si>
  <si>
    <t>Entende os conceitos básicos de testes automatizados e BDD (Behavior-Driven Development).
Conhece a sintaxe Gherkin e sabe escrever cenários básicos de teste no formato Given-When-Then.
Consegue configurar um projeto Cucumber com suporte a JavaScript ou outra linguagem relevante.
Sabe executar testes usando Cucumber e interpretar os resultados básicos.
Compreende a importância de escrever testes legíveis e colaborativos para diferentes stakeholders.</t>
  </si>
  <si>
    <t>Escreve e mantém cenários de teste bem estruturados utilizando Cucumber e Gherkin.
Implementa step definitions para automatizar cenários de teste integrados a frameworks como Cypress
Trabalha com hooks para otimizar a execução dos testes e gerenciar estados iniciais e finais.
Organiza e mantém testes reutilizáveis para evitar redundância no código.
Integra os testes Cucumber em pipelines de CI/CD para automação contínua.
Usa relatórios gerados pelo Cucumber Reports para análise de testes e feedback ao time.</t>
  </si>
  <si>
    <t>Atua como referência técnica na utilização do Cucumber dentro do time de Q.A..
Melhora a eficiência dos testes, criando estratégias avançadas de automação com Cucumber.
Desenvolve estruturas escaláveis para a escrita de testes, garantindo reutilização e manutenibilidade.
Treina e orienta o time sobre boas práticas na escrita de testes BDD.
Trabalha na otimização da performance dos testes, garantindo execuções rápidas e eficazes.
Integra o Cucumber com outras ferramentas de automação para cobertura de testes end-to-end.</t>
  </si>
  <si>
    <t>Compreende o conceito de BDD (Behavior-Driven Development) e sua aplicação em testes automatizados.
Conhece a sintaxe Gherkin e sabe escrever cenários básicos no formato Given-When-Then.
Consegue criar features simples, identificando critérios de aceitação para testes funcionais.
Entende a importância de escrever testes legíveis e compreensíveis para técnicos e não técnicos.</t>
  </si>
  <si>
    <t>Escreve cenários detalhados e organizados, cobrindo diferentes casos de uso do sistema.
Utiliza parâmetros e tabelas de dados para tornar os testes mais reutilizáveis e dinâmicos.
Organiza cenários em features e backgrounds, evitando redundância e melhorando a estrutura dos testes.
Trabalha em conjunto com desenvolvedores e P.O. para garantir que os cenários representem corretamente os requisitos.
Integra as features Gherkin em frameworks como Cucumber, SpecFlow ou Behave para automação de testes.</t>
  </si>
  <si>
    <t>Atua como referência técnica em escrita de testes BDD dentro do time de Q.A..
Garante que os cenários de teste sejam claros, completos e fáceis de manter, seguindo boas práticas.
Desenvolve guidelines internas para padronização da escrita de testes Gherkin.
Treina e orienta outros membros do time sobre boas práticas de escrita e automação de testes BDD.
Colabora na definição de estratégias de teste, garantindo cobertura eficiente e validação eficaz.</t>
  </si>
  <si>
    <t>JS - JavaScript (Automações)</t>
  </si>
  <si>
    <t>Compreende os conceitos básicos de JavaScript e sua aplicação para automações de testes.
Consegue escrever scripts simples para manipulação de elementos em testes automatizados.
Conhece estruturas de controle, como loops, condicionais e funções, para criar fluxos de automação.
Tem noções básicas sobre manipulação do DOM e eventos do navegador.
Já utilizou frameworks básicos de automação como Selenium WebDriver com JavaScript ou Cypress</t>
  </si>
  <si>
    <t>Escreve scripts automatizados eficientes utilizando JavaScript.
Trabalha com frameworks de testes como Cypress, Jest ou Mocha.
Integra a automação com ferramentas de testes API (Postman, SuperTest, etc.).
Sabe manipular promises e async/await para tratar fluxos assíncronos nos testes.
Utiliza JavaScript para criar testes E2E (End-to-End), garantindo cobertura completa do fluxo de usuário.
Integra os testes automatizados em pipelines de CI/CD.</t>
  </si>
  <si>
    <t>Atua como referência técnica no uso de JavaScript para automação de testes.
Otimiza e padroniza os scripts de automação para facilitar manutenção e escalabilidade.
Desenvolve bibliotecas e frameworks internos para automação de testes na empresa.
Treina e orienta a equipe sobre boas práticas na escrita de automações.
Trabalha na performance e estabilidade dos testes, evitando falsos positivos e negativos.
Integra automação frontend, backend e API, garantindo cobertura completa dos testes.</t>
  </si>
  <si>
    <t>Compreende o conceito de Pipelines de CI/CD e seu impacto na qualidade das entregas.
Compreende o conceito de Releases e suas variáveis e como elas se aplicam aos servidores de testes e produção.
Conhece a ferramenta Azure DevOps.
Consegue visualizar e interpretar logs de execução de pipelines.
Sabe configurar gatilhos básicos para rodar testes automatizados em uma release.</t>
  </si>
  <si>
    <t>Participa da configuração de pipelines de testes e releases dentro do fluxo de desenvolvimento.
Implementa a execução automatizada de testes funcionais e de regressão dentro da pipeline.
Monitora pipelines para identificar falhas e auxilia na depuração de erros.
Configura artefatos e ambientes de teste automatizados dentro do fluxo de deploy.
Consegue configurar condições e estágios dentro do pipeline, como testes em múltiplos ambientes.</t>
  </si>
  <si>
    <t>Atua como referência técnica no time sobre integração de testes com pipelines de CI/CD.
Trabalha na otimização do tempo de execução dos testes dentro da pipeline.
Integra diferentes tipos de testes (unitários, integração, performance, segurança) no fluxo de CI/CD.
Treina e orienta a equipe sobre boas práticas e padrões na configuração de releases automatizadas.
Implementa monitoramento e métricas para análise da qualidade nas releases.</t>
  </si>
  <si>
    <t>Compreende os conceitos básicos de APIs REST e RESTful.
Sabe a diferença entre requisições GET, POST, PUT, DELETE e PATCH.
Conhece ferramentas como Postman, Insomnia ou Swagger para testar endpoints manualmente.
Consegue interpretar códigos de resposta HTTP e entender sua relevância nos testes.
Tem noções básicas de autenticação e autorização em APIs (ex: JWT, OAuth).</t>
  </si>
  <si>
    <t>Realiza testes manuais e automatizados de APIs para validar respostas e desempenho.
Desenvolve scripts de testes automatizados com Postman, Newman ou Jest para APIs.
Testa validação de payloads no formato JSON e XML.
Configura testes parametrizados e dinâmicos, reutilizando variáveis e ambientes de teste.
Garante a integração dos testes de API em pipelines de CI/CD.</t>
  </si>
  <si>
    <t>Atua como referência técnica em testes de API para o time de Q.A.
Implementa frameworks de testes de API como RestAssured, SuperTest ou Cypress (para API Tests).
Trabalha na performance e segurança dos testes de API, incluindo testes de carga e estresse.
Desenvolve e mantém cenários de testes avançados, incluindo autenticação e múltiplos fluxos.
Cria documentação e treinamentos sobre melhores práticas para testes de API.
Define estratégias para integração dos testes automatizados nos processos de deploy contínuo.</t>
  </si>
  <si>
    <t>Compreende o conceito de casos de testes e sua importância para garantir a qualidade do software.
Conhece os tipos básicos de testes (funcionais, não funcionais, regressão, smoke, etc.) e quando aplicá-los.
Consegue escrever casos de teste simples, com base em requisitos e especificações do produto.
Entende o papel de um plano de testes e como ele orienta a execução dos testes.
Sabe identificar cenários de teste a partir das funcionalidades do sistema.</t>
  </si>
  <si>
    <t>Desenvolve estratégias de testes que abordam diferentes níveis de testes (unitários, integração, sistema).
Escreve casos de teste detalhados, especificando dados de entrada, ações e resultados esperados.
Cria planos de teste completos, considerando recursos, ambiente e cronograma de execução.
Executa testes exploratórios para cobrir cenários não previstos.
Avalia a cobertura de testes e propõe melhorias nas estratégias.
Revê e valida casos de testes de outros membros da equipe, garantindo consistência e eficácia.</t>
  </si>
  <si>
    <t>Atua como referência técnica na elaboração de estratégias e planos de testes.
Desenvolve estratégias de testes complexas, abordando múltiplos aspectos do sistema e integrando diferentes tipos de testes.
Cria e mantém modelos de planos de teste para diferentes tipos de projetos (ágil, waterfall, etc.).
Define métricas de cobertura de testes e propõe melhorias contínuas na execução dos planos.
Realiza treinamentos e mentorias sobre como escrever casos de teste eficazes e como planejar uma estratégia de testes robusta.
Acompanha a evolução da qualidade do produto com base nos resultados dos testes e ajusta as estratégias conforme necessário.</t>
  </si>
  <si>
    <t>Compreende os conceitos básicos de KPIs (Key Performance Indicators) e sua aplicação na área de qualidade.
Conhece alguns indicadores de qualidade comumente utilizados em teste de software, como Taxa de Defeitos, Cobertura de Testes, Eficiência de Testes e Taxa de Sucesso de Testes.
Sabe a importância de mensurar a qualidade do processo de testes e os resultados obtidos.
Consegue coletar dados de qualidade de testes executados, mas precisa de apoio para interpretar e agir sobre os resultados.</t>
  </si>
  <si>
    <t>Identifica e aplica KPIs de qualidade para avaliar a eficácia dos testes e da qualidade do produto.
Cria relatórios de performance de testes, com indicadores claros sobre a cobertura de testes, defeitos e progresso das sprints.
Interpreta e analisa indicadores de qualidade para tomar decisões sobre o processo de testes e sugerir melhorias.
Estabelece metas de qualidade de testes com base nos KPIs definidos e ajusta as abordagens conforme necessário.
Acompanha tendências de qualidade ao longo do tempo e propõe ações corretivas ou preventivas com base nos resultados.</t>
  </si>
  <si>
    <t>Atua como referência técnica na definição e implementação de KPIs de qualidade na equipe de Q.A.
Desenvolve modelos avançados de KPIs, considerando múltiplos fatores de qualidade do processo e do produto.
Implementa dashboards de indicadores com ferramentas de visualização (ex: Power BI, Tableau) para monitoramento contínuo da qualidade.
Contribui na definição de estratégias de melhoria contínua com base nos dados dos KPIs, ajustando processos de teste e recursos de forma proativa.
Treina e orienta a equipe sobre como definir, medir e analisar KPIs de qualidade, garantindo que todos compreendam a importância de monitorar os resultados dos testes.
Realiza auditorias e avaliações regulares da eficiência dos KPIs e ajusta as métricas quando necessário para manter a alta performance na qualidade.</t>
  </si>
  <si>
    <t>Compreende os conceitos e objetivos básicos dos testes manuais e sua importância para a qualidade do software.
Executa testes manuais seguindo casos de teste predefinidos para validar funcionalidades do sistema.
Sabe identificar defeitos simples nos sistemas e registrar corretamente os problemas encontrados.
Conhece a estratégia de testes exploratórios, aplicando-a ocasionalmente quando os casos de teste não cobrem todos os cenários.
Trabalha com documentação de testes, como planos de teste e casos de teste, mas sob supervisão.</t>
  </si>
  <si>
    <t>Realiza testes manuais de maneira eficiente, com um bom entendimento do produto e suas funcionalidades.
Executa testes de regressão, smoke, funcionais e usabilidade de acordo com as necessidades do produto e equipe.
Identifica e classifica defeitos críticos e menores e os documenta de forma clara e concisa em ferramentas de acompanhamento (JIRA, Trello, etc.).
Participa da criação e execução de casos de testes e revisa a cobertura de testes manuais para garantir que os principais fluxos do sistema sejam testados.
Avalia o impacto dos defeitos e acompanha a correção e verificação dos mesmos, comunicando a equipe de desenvolvimento quando necessário.
Contribui para a melhoria do processo de testes manuais, sugerindo novas abordagens ou áreas a serem testadas.</t>
  </si>
  <si>
    <t>Atua como referência técnica na execução e melhoria dos testes manuais no time de Q.A.
Possui um entendimento profundo dos fluxos e funcionalidades do sistema, sendo capaz de identificar falhas que outros podem não perceber.
Cria e mantém um conjunto abrangente de casos de teste, cobrindo cenários complexos e avançados, incluindo testes de usabilidade e experiência do usuário.
É responsável por treinar e orientar outros Q.A.s sobre as melhores práticas para executar testes manuais, garantindo a eficácia e cobertura.
Define a estratégia de testes manuais em colaboração com as partes interessadas, alinhando os testes com as necessidades do produto.
Acompanha os resultados dos testes e usa dados para identificar padrões de falhas e sugerir melhorias no processo de desenvolvimento e testes.
Trabalha com equipes multifuncionais para integrar os testes manuais ao processo contínuo de integração e entrega (CI/CD).</t>
  </si>
  <si>
    <t>Caixa Branca: Tem noções básicas sobre testes de caixa branca, compreendendo a importância de verificar a implementação interna do código e o fluxo do programa.
Caixa Preta: Sabe como realizar testes de caixa preta, validando as funcionalidades do sistema sem precisar entender o código-fonte.
Performance: Conhece os conceitos de testes de performance, mas não executa de forma independente.
Regressivo: Entende a importância dos testes regressivos e realiza testes para garantir que funcionalidades existentes não foram quebradas.
Exploratório: Realiza testes exploratórios, mas com orientação sobre o que explorar no sistema.
Segurança: Tem noções de testes de segurança, mas necessita de orientação para aplicar testes relacionados à segurança do sistema.
Usabilidade: Sabe a diferença entre testes de usabilidade e outros tipos de testes, mas raramente realiza ou documenta esses testes.</t>
  </si>
  <si>
    <t>Caixa Branca: Realiza testes de caixa branca, analisando a cobertura de código e verificando a lógica interna do sistema.
Caixa Preta: Executa testes de caixa preta de maneira eficiente, validando requisitos e funcionalidades sem acesso ao código-fonte.
Performance: Realiza testes de performance simples, como testes de carga e de estresse, para avaliar a escalabilidade e a estabilidade do sistema.
Regressivo: Executa testes regressivos de forma consistente, garantindo que alterações no sistema não impactem negativamente as funcionalidades existentes.
Exploratório: Realiza testes exploratórios de forma mais autônoma, analisando diferentes cenários que não estão cobertos por casos de teste predefinidos.
Segurança: Consegue realizar testes básicos de segurança, como testes de injeção de SQL, validação de entradas e testes contra vulnerabilidades comuns.
Usabilidade: Aplica testes de usabilidade para garantir que a interface do usuário seja intuitiva, fácil de navegar e eficiente, registrando sugestões de melhoria.</t>
  </si>
  <si>
    <t>Caixa Branca: Atua como especialista em testes de caixa branca, aplicando técnicas avançadas de cobertura de código e explorando diferentes caminhos de execução para garantir a qualidade do código-fonte.
Caixa Preta: Tem profunda experiência em testes de caixa preta, realizando testes que abrangem todos os requisitos do sistema sem acesso ao código-fonte, garantindo que o sistema atenda às expectativas do cliente.
Performance: Conduz testes de performance avançados, incluindo testes de escalabilidade, teste de stress e benchmarking, analisando métricas detalhadas como tempo de resposta, throughput e latência.
Regressivo: Cria e mantém um conjunto abrangente de testes regressivos, garantindo a qualidade contínua do sistema e evitando a introdução de novos erros em funcionalidades já existentes.
Exploratório: Realiza testes exploratórios complexos e eficazes, utilizando o conhecimento do domínio e do produto para identificar falhas que não seriam detectadas por testes automatizados ou manuais tradicionais.
Segurança: É especialista em testes de segurança, realizando análises de vulnerabilidades complexas, testes de penetration testing (PenTest) e aplicando estratégias de segurança em todo o ciclo de desenvolvimento do software.
Usabilidade: Aplica testes de usabilidade para garantir que a interface do usuário seja intuitiva, fácil de navegar e eficiente, registrando sugestões de melhoria.
Compartilha seu conhecimento sobre os tipos de testes com outros membros da equipe e contribui para o treinamento contínuo na área de testes, promovendo boas práticas de qualidade.</t>
  </si>
  <si>
    <t>Compreende os conceitos básicos de Alertmanager e sua integração com ferramentas de monitoramento (como Prometheus e Grafana) para gerenciar e enviar alertas.
Configura alertas básicos e recursos de notificação (e-mail, Teams, etc), com supervisão.
Ajusta e personaliza configurações simples de alerta, mas necessita de orientação para configurações mais complexas.</t>
  </si>
  <si>
    <t>Configura e mantém Alertmanager em ambientes de produção, realizando ajustes nas regras de alerta para garantir notificações adequadas.
Gerencia silenciamento, agrupamento e deduplicação de alertas, otimizando a comunicação e a eficiência.
Integra Alertmanager com outras ferramentas de monitoramento e notificações (Teams, etc.), buscando uma comunicação ágil e eficaz sobre incidentes.
Monitora e ajusta regras de alerta, realizando ajustes em métricas e gatilhos para melhorar a qualidade e a precisão dos alertas.
Realiza análises contínuas para garantir que os alertas estejam corretamente configurados e os times recebam notificações efetivas.</t>
  </si>
  <si>
    <t>Especialista em Alertmanager, sendo responsável pela configuração, otimização e monitoramento de alertas em ambientes de produção complexos, utilizando práticas avançadas como roteamento dinâmico, silenciamento temporal e agrupamento de alertas.
Desenvolve e implementa políticas de alerta baseadas em melhores práticas e necessidades específicas do negócio, garantindo resposta rápida e eficaz a incidentes.
Integra Alertmanager com Kubernetes, Prometheus Operator e outras ferramentas avançadas, assegurando alta disponibilidade e resiliência dos sistemas de alerta.
Implementa e ajusta alertas dinâmicos, além de estratégias de escalonamento e tratamento de incidentes para otimizar a gestão de alertas.
Lidera treinamentos e disseminação de conhecimento sobre o uso e configuração do Alertmanager para a equipe de DevOps e outras áreas técnicas.
Realiza otimizações contínuas nas configurações de alertas, visando minimizar falsos positivos e garantindo uma resposta eficiente apenas quando necessário.</t>
  </si>
  <si>
    <t>Compreende os conceitos básicos de DevSecOps, incluindo a integração de segurança nas práticas de DevOps.
Conhece algumas ferramentas básicas de segurança que podem ser integradas no pipeline de desenvolvimento, como ferramentas de análise estática de código e scanners de vulnerabilidade.
É capaz de utilizar ferramentas como OWASP ZAP, Snyk ou SonarQube em um nível básico para detectar vulnerabilidades e falhas de segurança no código e nas dependências.
Executa análise inicial e interpreta os relatórios das ferramentas, mas pode precisar de apoio para tomar decisões sobre mitigação e resolução de problemas.</t>
  </si>
  <si>
    <t>É especialista na análise de ferramentas DevSecOps, avaliando e integrando um conjunto abrangente de ferramentas de segurança para garantir que toda a infraestrutura e o ciclo de vida do software estejam protegidos contra vulnerabilidades.
Possui uma visão estratégica de segurança, ajudando a equipe a adotar as melhores práticas de segurança contínua, desde a codificação até a implementação e operação do sistema.
Implementa políticas de segurança avançadas, criando e otimizando pipelines que não apenas identificam vulnerabilidades, mas também previnem sua introdução, com foco em automação e feedback rápido.
Realiza treinamentos internos e workshops sobre a aplicação de ferramentas de DevSecOps, ensinando as melhores práticas para garantir a segurança em cada etapa do processo de desenvolvimento.
Monitora de forma contínua a eficácia das ferramentas de DevSecOps, realizando ajustes conforme necessário e implementando melhorias no ciclo de feedback de segurança.
Fomenta a cultura de segurança desde o início do ciclo de vida do desenvolvimento, engajando a equipe em práticas proativas de segurança em cada fase do pipeline de CI/CD.</t>
  </si>
  <si>
    <t>É especialista na análise de ferramentas DevSecOps, avaliando e integrando um conjunto abrangente de ferramentas de segurança para garantir que toda a infraestrutura e o ciclo de vida do software estejam protegidos contra vulnerabilidades.
Atua na configuração e otimização de ferramentas avançadas de segurança, incluindo ferramentas de análise de segurança de infraestrutura (como Turbine, Terraform Cloud), testes de penetração automatizados e ferramentas de gerenciamento de segredos (como Vault).
Possui uma visão estratégica de segurança, ajudando a equipe a adotar as melhores práticas de segurança contínua, desde a codificação até a implementação e operação do sistema.
Implementa políticas de segurança avançadas, criando e otimizando pipelines que não apenas identificam vulnerabilidades, mas também previnem sua introdução, com foco em automação e feedback rápido.
Realiza treinamentos internos e workshops sobre a aplicação de ferramentas de DevSecOps, ensinando as melhores práticas para garantir a segurança em cada etapa do processo de desenvolvimento.
Monitora de forma contínua a eficácia das ferramentas de DevSecOps, realizando ajustes conforme necessário e implementando melhorias no ciclo de feedback de segurança.
Fomenta a cultura de segurança desde o início do ciclo de vida do desenvolvimento, engajando a equipe em práticas proativas de segurança em cada fase do pipeline de CI/CD.</t>
  </si>
  <si>
    <t>Compreende os conceitos básicos de análise de vulnerabilidades em infraestrutura, reconhecendo a importância de proteger servidores, redes e serviços.
Entende a importância de manter os sistemas e serviços atualizados, aplicando patches de segurança regulares
É capaz de analisar relatórios de vulnerabilidades e sugerir ações corretivas básicas sob a supervisão de um especialista.</t>
  </si>
  <si>
    <t>Realiza varreduras de segurança e análises de vulnerabilidades de infraestrutura regularmente.
Identifica e mitiga vulnerabilidades de infraestrutura, como vulnerabilidades em sistemas operacionais, configurações inadequadas de rede e vulnerabilidades em serviços expostos à internet.
Implementa práticas de segurança em rede, como segmentação de rede, firewalls, controles de acesso e VPNs para proteger a infraestrutura de ataques.
Integra ferramentas de análise de vulnerabilidades ao pipeline de CI/CD, permitindo a verificação contínua da infraestrutura para falhas de segurança.
Aplica patches de segurança de maneira proativa, monitorando a infraestrutura e realizando correções conforme necessário para prevenir incidentes de segurança.
Trabalha com a equipe de segurança para revisar e melhorar políticas de segurança de infraestrutura, gerenciando os acessos privilegiados e controle de autenticação.</t>
  </si>
  <si>
    <t>É especialista em análise de vulnerabilidades de infraestrutura, realizando auditorias profundas e identificando falhas de segurança complexas em ambientes de cloud (Azure).
Desenvolve e mantém estratégias de mitigação de vulnerabilidades para toda a infraestrutura, criando uma cultura de segurança contínua, onde a infraestrutura é constantemente monitorada e corrigida automaticamente quando falhas de segurança são encontradas.
Possui um conhecimento profundo sobre compliance e regulamentações de segurança (como GDP) e como aplicá-las para garantir que a infraestrutura esteja em conformidade com os requisitos legais e regulatórios.
Realiza auditorias e testes de penetração na infraestrutura para garantir a robustez das defesas contra ataques de dia zero, escalação de privilégios, e outras ameaças.
Treina e compartilha conhecimento sobre a análise de vulnerabilidades de infraestrutura com a equipe de DevOps e outras partes interessadas, promovendo a importância da segurança em cada etapa da gestão de infraestrutura.
Fomenta a utilização de infraestrutura como código (IaC) e validações de segurança para garantir que a infraestrutura automatizada esteja protegida contra vulnerabilidades desde a sua criação.</t>
  </si>
  <si>
    <t>Compreende os conceitos básicos de Azure Automation e seu papel na automação de tarefas em ambientes Microsoft Azure.
Consegue configurar e executar automações simples, como criação de recursos e execução de scripts PowerShell.
É capaz de identificar tarefas repetitivas que podem ser automatizadas no ambiente Azure, utilizando templates básicos 
Entende a importância da automação para otimizar processos de TI e reduzir erros humanos.</t>
  </si>
  <si>
    <t>É especialista no Azure Automation, utilizando todos os recursos avançados para automatizar e otimizar fluxos de trabalho complexos no Azure, como orquestração de multi-cloud, gerenciamento de ciclo de vida de recursos e análise preditiva de dados operacionais.
Desenvolve soluções avançadas de automação, como automação de infraestrutura como código, integração com ferramentas de gerenciamento de configuração, gerenciamento automatizado de políticas e automações de resposta a incidentes.
Implementa e configura Runbooks altamente eficientes, scripts PowerShell avançados e Automation DSC para garantir que os sistemas estejam sempre em um estado desejado e em conformidade com as políticas de governança e segurança.
Realiza integrações com ferramentas de monitoramento e gerenciamento de incidentes (como Azure Monitor, Azure Log Analytics) para criar automações de resposta a incidentes em tempo real e com análises de impacto.
Fornece treinamento para a equipe de DevOps e outros times sobre boas práticas de automação no Azure, incluindo como otimizar custos e reduzir riscos operacionais através da automação de tarefas repetitivas.
Lidera a implementação de estratégias de governança automatizada, criando e gerenciando políticas de segurança, conformidade e compliance com base em automações integradas no ciclo de vida do sistema.</t>
  </si>
  <si>
    <t>É especialista no Azure Automation, utilizando todos os recursos avançados para automatizar e otimizar fluxos de trabalho complexos no Azure, como orquestração de multi-cloud, gerenciamento de ciclo de vida de recursos e análise preditiva de dados operacionais.
Desenvolve soluções avançadas de automação, como automação de infraestrutura como código, integração com ferramentas de gerenciamento de configuração, gerenciamento automatizado de políticas e automações de resposta a incidentes.
Implementa e configura Runbooks altamente eficientes, scripts PowerShell avançados e Automation DSC para garantir que os sistemas estejam sempre em um estado desejado e em conformidade com as políticas de governança e segurança.
Desenvolve e otimiza fluxos de trabalho automatizados que envolvem múltiplas plataformas, incluindo Azure e on-premises, utilizando Azure Automation Hybrid Runbook Worker para conectar ambientes híbridos.
Realiza integrações com ferramentas de monitoramento e gerenciamento de incidentes (como Azure Monitor, Azure Log Analytics, ServiceNow) para criar automações de resposta a incidentes em tempo real e com análises de impacto.
Fornece treinamento para a equipe de DevOps e outros times sobre boas práticas de automação no Azure, incluindo como otimizar custos e reduzir riscos operacionais através da automação de tarefas repetitivas.
Lidera a implementação de estratégias de governança automatizada, criando e gerenciando políticas de segurança, conformidade e compliance com base em automações integradas no ciclo de vida do sistema.</t>
  </si>
  <si>
    <t>Compreende os conceitos básicos do Azure Cloud e como ele se integra ao desenvolvimento e operações de software.
Conhece os principais serviços do Azure, como Azure Storage, Azure App Services, Azure Functions, Azure Virtual Machines, Azure Active Directory e Azure Monitor.
Sabe como configurar e utilizar recursos de armazenamento em nuvem, computação elástica e identidade no Azure para suportar aplicações e ambientes de desenvolvimento.
Tem experiência em criação de recursos simples na Azure Portal, uso de templates ARM (Azure Resource Manager) e CLI do Azure para tarefas básicas de infraestrutura como serviço (IaaS) e plataforma como serviço (PaaS).
Sabe integrar o Azure Cloud a ferramentas de CI/CD e de monitoramento, além de aplicar boas práticas de segurança básica no uso da plataforma.
Para Q.A., conhece as integrações de Azure DevOps com ferramentas de automação de testes e gerenciamento de requisitos.</t>
  </si>
  <si>
    <t>Gerencia e utiliza serviços mais avançados do Azure Cloud em tarefas do dia-a-dia, como infraestrutura como código, armazenamento distribuído, escala automatizada de máquinas virtuais e orquestração de containers.
Implementa e configura Azure Functions, Web Apps, Azure Kubernetes Service (AKS) e Azure DevOps Services para suportar aplicações e fluxos de trabalho de desenvolvimento.
Realiza o provisionamento e gerenciamento de recursos com segurança e eficiência utilizando Azure Policies, Azure Key Vault e outras ferramentas para proteção de dados e controle de acesso.
Desenvolve soluções de CI/CD integrando Azure Pipelines para automação de testes, builds e deploys, promovendo uma entrega contínua de software com alta qualidade.
Consegue gerenciar redes virtuais e firewalls no Azure, garantindo a comunicação segura entre recursos e a integração com ambientes on-premises.
Para Q.A., conhece as práticas de testes em nuvem, realiza testes de carga e performance utilizando o Azure Load Testing e outras ferramentas, além de usar o Azure Monitor para analisar métricas de desempenho.</t>
  </si>
  <si>
    <t>É especialista em Azure Cloud, com conhecimento profundo sobre arquitetura e design de soluções escaláveis, segurança de dados em nuvem, governança e compliance e orquestração avançada de containers e microserviços.
Consegue desenhar e implementar infraestruturas complexas no Azure, utilizando serviços como Azure Kubernetes Service (AKS), Azure Logic Apps, Azure Synapse Analytics, Azure Databricks, e Azure AI/ML para suportar a evolução e a inovação das aplicações.
Implementa e mantém políticas de segurança avançada com ferramentas como Azure Security Center, Azure Sentinel e Azure Active Directory, assegurando a conformidade com as melhores práticas de segurança e governança.
Lida com ambientes híbridos (on-premises + Azure) e multi-cloud, usando ferramentas como Azure Arc para gerenciar recursos de diferentes provedores de nuvem.
Automatiza e integra infraestrutura como código (IaC) utilizando Terraform, Azure Resource Manager (ARM) templates, e Azure DevOps para provisionamento e gestão de ambientes de produção e desenvolvimento em larga escala.
Conduz auditorias de segurança e gerenciamento de custos para garantir a otimização da utilização dos recursos da nuvem e o cumprimento das políticas corporativas.
Treina e lidera equipes em estratégias de otimização e automação de processos no Azure, além de disseminar as melhores práticas para garantir a eficácia e eficiência da utilização da plataforma Azure.
Para Q.A., tem experiência em testes de integração contínua e de performance diretamente em ambientes de nuvem, com integração de testes em ambientes de Azure DevOps e Azure Test Plans.</t>
  </si>
  <si>
    <t>Compreende os conceitos básicos de gestão de custos no Azure, como orçamento, previsão de custos e alertas de consumo.
Sabe como utilizar a Azure Cost Management + Billing para monitorar o consumo de recursos na nuvem.
É capaz de gerar relatórios básicos de custos e utilização e interpretar os dados para tomar decisões informadas sobre o uso de recursos.
Tem conhecimento básico sobre como configurar orçamentos e alertas de custo para evitar surpresas no final do mês.
Para DevOps, pode identificar e monitorar recursos consumidos por pipelines e sugerir otimizações simples de custo.</t>
  </si>
  <si>
    <t>Utiliza ativamente as ferramentas do Azure Cost Management para monitorar, analisar e otimizar o consumo de recursos no ambiente Azure.
Configura orçamentos e alertas de custo para diferentes grupos de recursos e serviços, garantindo que os custos estejam dentro dos limites planejados.
Realiza análises detalhadas de custos por recurso, serviço e região, usando relatórios e gráficos para apresentar insights aos stakeholders.
Implementa práticas de otimização de custos de maneira contínua, ajustando recursos e implementando políticas de escalabilidade automática para reduzir custos.
É capaz de identificar padrões de uso ineficiente e sugerir alternativas mais econômicas, como reservas de capacidade e otimização do uso de máquinas virtuais e armazenamento.
Para DevOps, consegue integrar o Azure Cost Management aos pipelines e fluxos de trabalho, ajudando a gerenciar e otimizar os custos associados à infraestrutura e automação.</t>
  </si>
  <si>
    <t>É especialista em Azure Cost Management e possui um profundo entendimento de estratégias avançadas de otimização de custos no Azure, incluindo reservas de instâncias, uso de múltiplas assinaturas, aplicação de tags e controle de custos por departamentos.
Configura e lidera a gestão de custos em larga escala para múltiplas assinaturas, contas e regiões do Azure, aplicando políticas de governança para garantir a conformidade e a maximização do orçamento de TI.
Implementa ferramentas de previsão de custos para identificar tendências de consumo e fazer ajustes antecipados.
Trabalha em colaboração com gestores e equipes de finanças para criar estratégias de redução de custos sem comprometer a qualidade dos serviços e infraestrutura.
Realiza auditorias de custos frequentes, identificando áreas de desperdício e implementando mecanismos de governança, como políticas de aprovação de gastos e controle de uso de serviços não utilizados.
Cria e dissemina melhores práticas e processos para controle de custos em projetos de nuvem, além de liderar treinamentos para a equipe sobre as melhores ferramentas e práticas do Azure Cost Management.
Para DevOps, integra profundamente o Azure Cost Management nas práticas de integração e entrega contínua (CI/CD), oferecendo relatórios de custo detalhados para otimizar o uso de infraestrutura de maneira eficiente.</t>
  </si>
  <si>
    <t>Compreende os conceitos básicos de Azure DevOps/TFS, incluindo controle de versões, pipelines e backlogs de trabalho.
Realiza tarefas básicas em Azure DevOps/TFS, como criação de repositórios (Git ou TFVC), gestão de work items e execução de builds simples.
Para Dev Backend e Frontend, sabe como configurar repositórios de código, gerenciar branches e realizar pull requests para integração contínua.
Para Q.A., pode configurar pipelines para executar testes automatizados e integrar relatórios de teste dentro do Azure DevOps.
Para DevOps, entende os conceitos de pipelines de build e release, criando pipelines básicos para ambientes de desenvolvimento, homologação e produção.
Consegue gerenciar permissões e roles de forma simples e administrar tarefas relacionadas a integração contínua e entrega contínua.</t>
  </si>
  <si>
    <t>Utiliza Azure DevOps/TFS de forma ativa em gestão de projetos, integração contínua (CI), entrega contínua (CD) e controle de versões.
Configura e gerencia pipelines de build e release, com integração de testes automatizados e ferramentas de qualidade de código como SonarQube.
Para Dev Backend e Frontend, implementa estratégias de versionamento avançadas, utilizando branching strategies como Git Flow, e integrando testes unitários e de integração dentro dos pipelines.
Para Q.A., utiliza Azure DevOps/TFS para integrar testes de automação de frontend e backend, executar testes de carga e gerar relatórios automáticos de testes.
Para DevOps, implementa pipelines de infraestrutura como código (IaC), orquestra deployments automáticos, e realiza gerenciamento de ambientes utilizando templates e parâmetros.
Sabe como gerenciar e monitorar releases, além de aplicar políticas de aprovação e rollback para ambientes de produção.
Colabora efetivamente com equipes de diferentes disciplinas, utilizando Boards, Repos, Pipelines e Test Plans de forma colaborativa e eficiente.</t>
  </si>
  <si>
    <t>É especialista em Azure DevOps/TFS, com profundo conhecimento de automação de processos, gestão de releases e integração de ferramentas externas para monitoramento, segurança e qualidade de código.
Cria e mantém pipelines complexos de build, deploy e testes automatizados para múltiplos ambientes de desenvolvimento, homologação e produção.
Para Dev Backend e Frontend, lidera a integração de CI/CD, otimizando o fluxo de trabalho de desenvolvimento, realizando deploys automáticos de código e utilizando infraestrutura como código (IaC) para garantir a consistência dos ambientes.
Para Q.A., integra ferramentas de teste contínuo dentro de pipelines, faz a automação de regressão e implementa estratégias para garantir alta cobertura de testes.
Para DevOps, utiliza práticas avançadas de monitoramento, controle de versões e gerenciamento de releases, aplicando DevSecOps para integrar segurança ao longo do pipeline de CI/CD.
Gerencia grandes projetos em equipes distribuídas, coordenando entregas contínuas e realizando backlog grooming, planejamento de sprints, trilhas de versão e entregas de produto.
Proporciona treinamentos internos e lidera a implementação de melhores práticas de DevOps/TFS em toda a organização.
Fornece consultoria técnica para outras equipes e orienta sobre o uso eficaz de Azure DevOps/TFS para melhorar a produtividade e eficiência operacional.</t>
  </si>
  <si>
    <r>
      <rPr>
        <b/>
        <sz val="11"/>
        <color rgb="FF000000"/>
        <rFont val="Calibri"/>
        <scheme val="minor"/>
      </rPr>
      <t xml:space="preserve">Dev:
</t>
    </r>
    <r>
      <rPr>
        <sz val="11"/>
        <color rgb="FF000000"/>
        <rFont val="Calibri"/>
        <scheme val="minor"/>
      </rPr>
      <t xml:space="preserve">Compreende os conceitos básicos de Kubernetes, como Pods, Deployments, Services e Namespaces.
Entende o ciclo de vida de um container e como o Kubernetes orquestra a execução desses containers.
</t>
    </r>
    <r>
      <rPr>
        <b/>
        <sz val="11"/>
        <color rgb="FF000000"/>
        <rFont val="Calibri"/>
        <scheme val="minor"/>
      </rPr>
      <t>DevOps:</t>
    </r>
    <r>
      <rPr>
        <sz val="11"/>
        <color rgb="FF000000"/>
        <rFont val="Calibri"/>
        <scheme val="minor"/>
      </rPr>
      <t xml:space="preserve"> 
Conhece os principais componentes do Kubernetes e a gestão de recursos, como escalonamento automático de pods e deployment strategies básicas.
Sabe como verificar logs, consultar o estado dos pods e executar comandos simples para solucionar problemas em containers.</t>
    </r>
  </si>
  <si>
    <r>
      <rPr>
        <sz val="11"/>
        <color rgb="FF000000"/>
        <rFont val="Calibri"/>
        <scheme val="minor"/>
      </rPr>
      <t xml:space="preserve">
</t>
    </r>
    <r>
      <rPr>
        <b/>
        <sz val="11"/>
        <color rgb="FF000000"/>
        <rFont val="Calibri"/>
        <scheme val="minor"/>
      </rPr>
      <t>Dev Backend</t>
    </r>
    <r>
      <rPr>
        <sz val="11"/>
        <color rgb="FF000000"/>
        <rFont val="Calibri"/>
        <scheme val="minor"/>
      </rPr>
      <t xml:space="preserve">: 
Consegue realizar a criação de pods e deploys simples em um cluster Kubernetes.
É capaz de rodar aplicações em containers dentro de um cluster Kubernetes de forma simples e monitorar a execução da aplicação.
Utiliza Kubernetes para orquestrar e gerenciar aplicações em containers.
Configura e gerencia clusters Kubernetes com multiplos pods e serviços, utilizando deployments e volumes.
</t>
    </r>
    <r>
      <rPr>
        <b/>
        <sz val="11"/>
        <color rgb="FF000000"/>
        <rFont val="Calibri"/>
        <scheme val="minor"/>
      </rPr>
      <t xml:space="preserve"> 
DevOps</t>
    </r>
    <r>
      <rPr>
        <sz val="11"/>
        <color rgb="FF000000"/>
        <rFont val="Calibri"/>
        <scheme val="minor"/>
      </rPr>
      <t>: 
Gerencia clusters Kubernetes de forma avançada, aplicando práticas de alta disponibilidade, escalabilidade automática e configuração de rede dentro do cluster.
Sabe como configurar e manter os pipelines de CI/CD para deploys automáticos em Kubernetes, além de configurar monitoramento e alertas usando ferramentas como Prometheus e Grafana.
Consegue aplicar políticas de segurança em Kubernetes, configurando RBAC, network policies e segurança no acesso aos containers.
Realiza a gestão de namespaces para isolar e organizar os recursos no cluster.</t>
    </r>
  </si>
  <si>
    <r>
      <rPr>
        <sz val="11"/>
        <color rgb="FF000000"/>
        <rFont val="Calibri"/>
        <scheme val="minor"/>
      </rPr>
      <t xml:space="preserve">
</t>
    </r>
    <r>
      <rPr>
        <b/>
        <sz val="11"/>
        <color rgb="FF000000"/>
        <rFont val="Calibri"/>
        <scheme val="minor"/>
      </rPr>
      <t>Dev Backend:</t>
    </r>
    <r>
      <rPr>
        <sz val="11"/>
        <color rgb="FF000000"/>
        <rFont val="Calibri"/>
        <scheme val="minor"/>
      </rPr>
      <t xml:space="preserve"> 
Aplica práticas de deploy contínuo no Kubernetes. Gerencia o ciclo de vida de microserviços e a comunicação entre eles de maneira eficiente.
É especialista em Kubernetes, com profundo conhecimento na gestão de clusters e orquestração de containers em ambientes complexos e de alta escala.
Desenha e implementa arquiteturas de microserviços utilizando Kubernetes, com alta disponibilidade, escabilidade horizontal e estratégias de recuperação em caso de falhas.
Apoia o time de devops em problemas e melhorias na estrutura do Kubernetes em ambientes de Produção e Desenvolvimento
</t>
    </r>
    <r>
      <rPr>
        <b/>
        <sz val="11"/>
        <color rgb="FF000000"/>
        <rFont val="Calibri"/>
        <scheme val="minor"/>
      </rPr>
      <t xml:space="preserve">
DevOps</t>
    </r>
    <r>
      <rPr>
        <sz val="11"/>
        <color rgb="FF000000"/>
        <rFont val="Calibri"/>
        <scheme val="minor"/>
      </rPr>
      <t>: 
É responsável pela infraestrutura como código (IaC), utilizando ferramentas como Helm e Kustomize para facilitar o gerenciamento de configurações e deploys consistentes no Kubernetes.
Implementa e otimiza pipelines de CI/CD em Kubernetes, assegurando que os deployments automáticos sejam rápidos, seguros e escaláveis.
Monitora a performance do cluster, otimiza o uso de recursos e realiza a gestão de logs e métricas com Prometheus, Grafana, ou Elasticsearch.
Possui conhecimento avançado em segurança em Kubernetes, implementando estratégias de autenticação e autorização robustas, incluindo segurança de rede, segurança de containers e políticas de segurança.
Lidera projetos de escalabilidade, automatiza a infraestrutura com Kubernetes Operators e Gerencia a governança de clusters, garantindo a conformidade com as políticas de TI.
Oferece treinamentos internos e mentoria técnica sobre Kubernetes, melhores práticas e troubleshooting, tornando-se um ponto de referência para a equipe.</t>
    </r>
  </si>
  <si>
    <t>Compreende os conceitos básicos de Azure Deployment, como criação de recursos no Azure, uso de Azure DevOps para automação de deploys e integração com pipelines.
Para Q.A., consegue executar deploys simples de aplicações em ambientes de testes utilizando Azure DevOps pipelines, sendo capaz de executar tarefas como deploys de testes automatizados ou verificar status de recursos após o deploy.
Para DevOps, sabe criar e configurar pipelines de deploy simples utilizando o Azure DevOps e executar comandos básicos de deploy em aplicações, monitorando logs e garantindo que as versões corretas sejam aplicadas.</t>
  </si>
  <si>
    <t>Gerencia deploys no Azure em ambientes de produção e desenvolvimento, utilizando Azure DevOps para criar e configurar pipelines de CI/CD.
Para Q.A., consegue configurar ambientes de teste para realizar a validação pós-deploy, integrando testes automatizados e reportando resultados diretamente no pipeline.
Para DevOps, é capaz de automatizar o processo de deploy em múltiplos ambientes Azure, garantindo que o ciclo de vida do software seja eficiente, seguindo práticas de rollback e gerenciamento de versões.
Tem experiência em deploy de aplicações de diferentes tipos, como Web Apps, APIs, Containers e Function Apps em Azure.
Configura e monitora a pipeline de deploy, gerenciando falhas e assegurando que os ambientes de produção e teste estejam sempre consistentes.
É capaz de configurar Azure Resource Manager (ARM) templates ou usar Terraform para definir infraestrutura como código (IaC) e garantir que os deploys sejam replicáveis e automatizados.
Realiza análises pós-deploy, buscando melhorias e otimizando performance com base nos logs de execução e métricas coletadas.</t>
  </si>
  <si>
    <t>Lidera a estratégia de deploy em Azure, desenhando arquiteturas robustas para ambientes de produção de alta disponibilidade, escaláveis e resilientes.
Para Q.A., é responsável por gerenciar e otimizar os ambientes de deploy automatizados, garantindo que os testes sejam sempre executados nos ambientes mais próximos da produção.
Para DevOps, possui expertise em criar pipelines de CI/CD complexas e de múltiplos estágios, utilizando Azure DevOps, GitHub Actions, ARM templates e Terraform para integrar ferramentas de automação, validação, testagem e deploy.
Administra a infraestrutura do Azure com autoescalamento, gestão de recursos e políticas de segurança para garantir a alta disponibilidade e segurança do ambiente de produção.
Implementa e otimiza processos de rollback e blue-green deployments no Azure, assegurando que novas versões de aplicações sejam implementadas com segurança e sem impactar a experiência do usuário.
Apoia a equipe em boas práticas de governança e monitoramento de custo no Azure, utilizando Azure Cost Management e Application Insights para reduzir custos e garantir o desempenho das soluções em nuvem.
Treina e orienta a equipe sobre melhores práticas de deploy em Azure, automatização de processos, gerenciamento de pipelines e otimização de ambientes para assegurar uma entrega contínua de software eficiente.</t>
  </si>
  <si>
    <t>Compreende os conceitos básicos de Azure Virtual Machine (VM), como criação, configuração e monitoramento de máquinas virtuais no Azure.
Conhece as diferentes opções de VMs no Azure e como escolher a tamanho e tipo de máquina virtual adequado para cada aplicação.
Sabe configurar VMs básicas, acessar via SSH ou RDP, e aplicar configurações de rede simples, como firewall, IPs públicos e privados.
Capaz de instalar e configurar softwares básicos em VMs e gerenciar atualizações e patches.
Utiliza Azure CLI ou Portal do Azure para gerenciar máquinas virtuais, realizar criação e modificação de VMs.</t>
  </si>
  <si>
    <t>Gerencia ambientes de produção utilizando Azure Virtual Machines, realizando configurações avançadas, como integração com redes virtuais (VNets), balanceadores de carga, dispositivos de armazenamento e segurança de rede.
Automatiza a criação e gestão de VMs utilizando Azure Resource Manager (ARM) templates, Terraform ou Azure CLI, garantindo a replicabilidade e consistência das configurações.
Configura backups automáticos de VMs e implementa estratégias de recuperação para garantir a disponibilidade e resiliência da infraestrutura.
Realiza manutenção proativa e atualização de VMs, incluindo ajustes de tamanho, escala automática e aplicação de patches de segurança.
Conhece estratégias de alta disponibilidade e disaster recovery para máquinas virtuais, configurando VMs em Availability Sets ou VMs em Availability Zones.
Monitora o desempenho das VMs utilizando Azure Monitor, implementa alertas e otimiza o uso de recursos para reduzir custos.</t>
  </si>
  <si>
    <t>Lidera a implementação e gestão de infraestruturas baseadas em Azure Virtual Machines para grandes ambientes de produção, com foco em escabilidade, resiliência e segurança.
Projeta e implementa soluções de arquitetura distribuída utilizando Azure VMs para suportar microserviços, containers e aplicações empresariais complexas.
Automatiza o provisionamento de infraestrutura usando infraestrutura como código (IaC), com Azure DevOps pipelines, ARM templates e Terraform, garantindo que as VMs sejam provisionadas e configuradas de forma eficiente e sem erros.
Gerencia a integração de Azure VMs com outros serviços do Azure, como Azure Load Balancer, Azure Network Security Groups (NSGs), Azure Active Directory, e Azure Disk Storage, para garantir uma infraestrutura de TI totalmente integrada e otimizada.
Implanta e gerencia soluções de recuperação de desastres e alta disponibilidade em múltiplos locais usando Azure Site Recovery, Azure Availability Zones, e Azure VM Scale Sets.
Envolvido em otimização de custos, aplicando melhores práticas de gerenciamento de VMs para reduzir gastos com recursos, como resize, preemptive scaling, spot instances, e auto-scaling.
Ensina e orienta a equipe sobre melhores práticas de gerenciamento de VMs no Azure, desde a provisionamento inicial até estratégias de manutenção e otimização contínua.
Cria e compartilha documentações técnicas e guia outros membros do time na configuração e gestão de ambientes de VMs no Azure, ajudando a melhorar a eficiência operacional e a segurança dos sistemas.</t>
  </si>
  <si>
    <t>Compreende os conceitos básicos de Bash, como variáveis, loops, condicionais, manipulação de arquivos e execução de comandos.
Executa scripts simples para automatizar tarefas no ambiente de DevOps, como monitoramento de logs, backup de arquivos e reinício de serviços.
Consegue navegar e manipular arquivos e diretórios utilizando comandos como ls, cp, mv, rm, e grep.
Realiza operações básicas de manipulação de texto, como substituição de strings, busca de padrões em arquivos e extração de informações com comandos como awk, sed e cut.
Utiliza comandos do Linux/Unix em conjunto com Bash para tarefas diárias de administração de servidores.</t>
  </si>
  <si>
    <t>Desenvolve scripts de Bash intermediários para automatizar processos de deploy, monitoramento e manutenção de servidores, como a verificação de integridade de sistemas, gerenciamento de logs e execução de tarefas programadas.
Integra Bash com outras ferramentas e APIs para automatizar fluxos de trabalho em pipelines de CI/CD (por exemplo, com GitLab CI, Jenkins ou Azure Pipelines).
Consegue manipular arquivos de configuração, como modificar e aplicar alterações em Nginx, Apache e Docker usando scripts Bash.
Gerencia ambientes de produção, executando scripts Bash para a instalação de pacotes, atualizações de segurança, criação de backups e gerenciamento de containers Docker.
Otima scripts para eficiência, implementando verificações de erros e logs detalhados, além de adicionar funções de automação de processos para resolver problemas recorrentes de forma eficiente.
Conhece expressões regulares e as aplica no contexto de manipulação de arquivos, validação de dados e processamento de texto dentro de scripts.</t>
  </si>
  <si>
    <t>Lidera a criação de scripts complexos em Bash para gerenciar e automatizar ambientes de produção e infraestrutura de DevOps de forma eficaz e eficiente.
Desenvolve e mantém scripts Bash avançados para a orquestração de containers Docker, gerenciamento de clusters Kubernetes e infraestrutura de servidores em nuvem.
Integra Bash com outras ferramentas de automação para criar workflows robustos em pipelines de CI/CD, utilizando hooks, cron jobs e bash scripts em conjunto com Ansible, Terraform, ou SaltStack.
Melhora a eficiência operacional por meio de scripts que automatizam tarefas complexas, como deploy contínuo, backups automatizados, gerenciamento de usuários, manipulação de dados em grande escala e gerenciamento de logs em ambientes distribuídos.
Desenvolve scripts para monitoramento em tempo real, identificando e corrigindo problemas antes que eles afetem o ambiente de produção.
Implementa boas práticas de segurança em scripts, como controle de acesso e gerenciamento de credenciais usando Bash, além de garantir auditoria e rastreamento de atividades.
Ensina e orienta outros membros da equipe sobre boas práticas no uso de Bash, criando documentação técnica detalhada e fornecendo treinamentos sobre como escrever scripts eficientes, seguros e reutilizáveis.
Cria e mantém frameworks de automação de infraestrutura em Bash para facilitar a escalabilidade e o gerenciamento de ambientes de cloud computing e servidores dedicados.</t>
  </si>
  <si>
    <t>Compreende os conceitos básicos de containers, como isolamento, criação, gerenciamento e execução de containers.
Cria containers simples para o desenvolvimento e testes locais, como bancos de dados ou servidores de aplicação em um ambiente controlado.
Utiliza imagens pré-existentes, aplicando configurações simples e ajustando variáveis de ambiente.
Executa containers para rodar serviços necessários durante o desenvolvimento, como servidores web, bancos de dados e ferramentas auxiliares.
Sabe como fazer o build e execução de containers, usando comandos como docker build, docker run, docker ps e docker logs.</t>
  </si>
  <si>
    <t>Desenvolve e orquestra containers Docker em ambientes de desenvolvimento, aplicando boas práticas para a criação e gerenciamento de containers.
Cria imagens personalizadas de containers usando Dockerfiles.
Gerencia volumes de containers, conectando diferentes containers entre si e persistindo dados para manter o estado da aplicação.
Sabe como usar ou Usa Docker Compose para orquestrar múltiplos containers em ambientes de desenvolvimento, como bancos de dados, serviços de fila e servidores web.</t>
  </si>
  <si>
    <t>Lidera a criação e manutenção de arquiteturas baseadas em containers para ambientes de produção, com alto grau de escalabilidade e resiliência.
Desenvolve soluções de orquestração avançada, utilizando Kubernetes para gerenciar clusters de containers em ambientes distribuídos, escaláveis e de alta disponibilidade.
Desenvolve e mantém sistemas baseados em containers para produção e ambientes de testes, garantindo que todos os componentes da aplicação, como bancos de dados, APIs, caches e microserviços, sejam executados em containers de forma eficiente e segura.
Treina e orienta outros membros da equipe sobre como construir e operar containers de forma eficaz, fornecendo diretrizes e melhores práticas de segurança, performance e escalabilidade.
Contribui para a evolução da arquitetura de containers da empresa, melhorando a performance, o gerenciamento de versões e a integração de containers em ambientes de produção.</t>
  </si>
  <si>
    <t>Compreende os conceitos básicos do Docker Swarm, como clusters, nós e serviços distribuídos.
Configura clusters simples com Docker Swarm para orquestração de containers em ambientes de desenvolvimento ou testes.
Cria stacks e serviços no Docker Swarm, utilizando arquivos docker-compose.yml e entendendo como fazer deploy de múltiplos containers em um cluster.
Monitora containers no Swarm, utilizando comandos como docker service ps, docker node ls, e docker stack ps para verificar o status de serviços e nós.
Realiza operações básicas de escalabilidade, como aumentar ou reduzir o número de réplicas de um serviço, usando docker service scale.</t>
  </si>
  <si>
    <t>Configura e gerencia clusters Docker Swarm em produção, garantindo alta disponibilidade e resiliência de serviços.
Define e gerencia redes overlay, utilizando Docker Swarm para permitir a comunicação segura entre containers em diferentes nós do cluster.
Gerencia o balanceamento de carga e a escalabilidade automática de serviços dentro do cluster, utilizando o Swarm para otimizar o desempenho e distribuir a carga de trabalho.
Implanta serviços em Docker Swarm de forma eficiente, utilizando CI/CD para automatizar o deploy de stacks e serviços, integrando Docker Swarm com pipelines de build e deploy.
Realiza upgrades e rollback de serviços no Docker Swarm, garantindo continuidade no serviço com mínima interrupção durante atualizações ou falhas.
Implementa estratégias de rede e armazenamento persistente, utilizando volumes de Docker Swarm e redes avançadas para suportar aplicações distribuídas de forma segura e eficiente.</t>
  </si>
  <si>
    <t>Lidera a arquitetura e implementação de soluções complexas com Docker Swarm, incluindo a configuração de clusters multi-nós distribuídos com alta disponibilidade e recuperação automática.
Desenha e otimiza a infraestrutura de containers com Docker Swarm para garantir a escalabilidade, resiliência e segurança em ambientes de produção.
Integra Docker Swarm com outras ferramentas de orquestração e monitoramento, como Prometheus, Grafana, e outras soluções de observabilidade para melhorar a performance e a visibilidade de containers.
Cria e aplica políticas de governança e segurança no Docker Swarm, incluindo autenticação e autorização entre serviços, criptografia e segregação de redes.
Garante a eficiência do ciclo de vida de containers com Docker Swarm, aplicando estratégias de autoscaling, failover, e deploy contínuo para manter a infraestrutura robusta e flexível.
Desenvolve e documenta melhores práticas de uso do Docker Swarm, treinando a equipe sobre como construir, implementar e manter clusters de containers, além de fornecer suporte técnico avançado.
Lidera iniciativas de inovação em orquestração de containers com Docker Swarm, garantindo que a plataforma esteja alinhada com as necessidades de escalabilidade e integrando novos recursos à infraestrutura.</t>
  </si>
  <si>
    <t xml:space="preserve">Compreende os conceitos básicos do ElasticSearch e qual o seu propósito.
Configura e utiliza o ElasticSearch para realizar o gerenciamento de logs.
Faz consultas básicas de dados no ElasticSearch, utilizando a interface RESTful para pesquisar, ou alguma ferramenta como Kibana ou Grafana.
</t>
  </si>
  <si>
    <t xml:space="preserve">Entende o básico da configuração do ElasticSearch, incluindo ajustes em índices, mapeamentos de dados e a criação de templates de índice.
Utiliza ElasticSearch em conjunto com outras ferramentas como Logstash e Kibana, criando soluções completas de log e análise de dados em tempo real.
</t>
  </si>
  <si>
    <t>Lidera a implementação de arquiteturas avançadas com ElasticSearch para uso de logs.
Integra ElasticSearch em soluções de monitoramento e análise usando Kibana, proporcionando dashboards customizados e insights valiosos para a equipe.
Treina a equipe em ElasticSearch, compartilhando boas práticas para otimização de consultas, escalabilidade de clusters e design de índices eficientes.
Entende de forma aprofundada como funciona o rollover de indices.
Implementa estratégias de segurança e autenticação, garantindo a proteção e integridade dos dados e acessos ao cluster ElasticSearch.
Desenvolve e implementa soluções complexas de ingestão de dados, criando pipelines automáticos com Logstash ou Beats para processar e armazenar grandes volumes de dados em ElasticSearch.</t>
  </si>
  <si>
    <t>Compreende os conceitos básicos de FinOps, como o gerenciamento de custos em nuvem, e a importância da colaboração entre equipes de finanças, operações e tecnologia.
Utiliza ferramentas básicas de monitoramento de custos em nuvem, como o AWS Cost Explorer, Azure Cost Management ou Google Cloud Billing, para acompanhar o uso de recursos e gastos.
Realiza monitoramento e relatórios de custos de nuvem, analisando despesas com serviços de cloud computing e criando relatórios simples sobre o uso de recursos.
Entende os fundamentos da alocação de custos, acompanhando as métricas relacionadas a orçamentos e custos de cloud.
É capaz de aplicar controles simples de custos, ajudando a evitar gastos inesperados ou excessivos em ambientes de nuvem.</t>
  </si>
  <si>
    <t>Gerencia e monitora custos de nuvem de forma ativa, utilizando ferramentas de FinOps para acompanhar o consumo de recursos e prever gastos futuros.
Cria e implementa políticas de governança de custos em nuvem, como alertas de orçamento, limites de gastos e otimização de recursos para garantir o uso eficiente dos serviços de nuvem.
Trabalha com equipes de finanças e TI para alinhar o orçamento com os requisitos de infraestrutura, otimizando os recursos de nuvem de forma que os custos estejam dentro do esperado.
Realiza análises detalhadas de custos de nuvem, identificando áreas onde os custos podem ser reduzidos sem comprometer a performance ou disponibilidade dos serviços.
Aplica práticas de FinOps no ciclo de vida de projetos, ajudando a planejar e alocar recursos de forma eficiente, com o foco em otimização de custos e maximização do valor dos serviços de nuvem.
Auxilia na automação de processos de controle de custos e otimização de recursos em nuvem, garantindo que os processos sejam escaláveis e eficientes.</t>
  </si>
  <si>
    <t>Desenha e lidera a estratégia de FinOps em larga escala, implementando práticas avançadas de gerenciamento de custos de nuvem em toda a organização.
Define e implementa modelos de previsão de custos, ajudando a antecipar e planejar com precisão o uso de recursos de nuvem, com base em métricas detalhadas e análise de dados históricos.
Implementa automações avançadas para controle de custos, utilizando ferramentas de FinOps para integrar soluções de monitoramento, alertas, relatórios e otimização de recursos de forma contínua.
Desenvolve e lidera workshops e treinamentos em FinOps, capacitando as equipes para garantir que as práticas de gestão de custos em nuvem sejam integradas de maneira eficiente nas operações diárias.
Trabalha com equipes de alto nível, como finanças e engenharia, para otimizar a arquitetura da infraestrutura em nuvem com foco na redução de custos e no aumento da eficiência.
Desenvolve políticas de governança financeira, que incluem orçamento, análise de custos, relatórios de consumo, e previsões financeiras, alinhando a estratégia de FinOps com as metas corporativas e de TI.
Integra práticas de FinOps com outras estratégias de cloud (como DevOps e SRE), alinhando custos, performance e resiliência, garantindo que os recursos de nuvem sejam usados de maneira eficaz e econômica.</t>
  </si>
  <si>
    <t>Compreende os conceitos básicos de IDS (Intrusion Detection Systems), IPS (Intrusion Prevention Systems) e Firewalls, entendendo a importância desses sistemas na proteção de infraestruturas de TI.
Utiliza ferramentas básicas de monitoramento de segurança, como Firewalls de rede, IDS e IPS, para detectar e bloquear ameaças em potencial em ambientes de nuvem e infraestrutura.
Monitora logs de segurança e eventos para identificar possíveis riscos, detectando comportamentos anômalos e vulnerabilidades em sistemas e redes.
Aplica regras de firewall básicas para limitar o tráfego de rede e proteger sistemas de ataques externos, garantindo que as comunicações sejam seguras.
Compreende e implementa configurações básicas de IDS/IPS, para detectar intrusões ou prevenir ações maliciosas em redes corporativas.</t>
  </si>
  <si>
    <t>Gerencia e configura firewalls, IDS e IPS de forma eficiente, para garantir que a rede e os sistemas estejam protegidos contra ataques internos e externos.
Implementa e mantém políticas de segurança baseadas em IDS/IPS e Firewalls, realizando a segmentação de redes e ajustando as regras de segurança para reduzir a superfície de ataque.
Monitora e analisa alertas de IDS/IPS, investigando incidentes de segurança e implementando medidas corretivas para mitigar ameaças e vulnerabilidades.
Realiza auditorias regulares de segurança de rede, utilizando ferramentas como firewalls e IDS/IPS para identificar pontos de falha e implementar melhorias nas defesas de rede.
Integra práticas de segurança em processos DevOps, colaborando com equipes de segurança para garantir que as proteções de rede sejam parte integrante do ciclo de vida do desenvolvimento.
Automatiza a configuração e monitoramento de dispositivos de segurança, criando pipelines e processos para que as defesas sejam contínuas e responsivas a incidentes de segurança.</t>
  </si>
  <si>
    <t>Desenvolve e implementa estratégias avançadas de segurança de rede, combinando firewalls, IDS e IPS, com o objetivo de proteger a infraestrutura em nuvem e servidores críticos da organização contra ameaças sofisticadas.
Desenha arquiteturas seguras, utilizando técnicas avançadas de firewall e IDS/IPS, além de técnicas de segmentação de rede e controle de tráfego, para garantir a segurança em ambientes de produção e desenvolvimento.
Realiza análises forenses de segurança e investigações pós-incidente, utilizando logs e ferramentas de IDS/IPS para rastrear e entender ataques e invasões, além de aplicar soluções para evitar recorrências.
Lidera iniciativas de segurança em toda a organização, treinando equipes em práticas avançadas de configuração e manutenção de IDS/IPS e firewalls, além de criar padrões e diretrizes para segurança de rede.
Automatiza e orquestra políticas de segurança em ambientes de nuvem e infraestrutura híbrida, incluindo respostas automáticas a incidentes de segurança, e integra soluções de segurança com CI/CD (Integração Contínua/Entrega Contínua).
Colabora com as equipes de compliance e auditoria, garantindo que todas as soluções de segurança estejam em conformidade com as regulamentações de segurança e proteção de dados, e realizando auditorias de segurança regulares em toda a organização.</t>
  </si>
  <si>
    <t>Compreende os conceitos básicos de Kibana, como visualização de dados de logs e métricas.
Usa o Kibana para visualizar e analisar logs provenientes de ferramentas como Elasticsearch, ajudando a identificar problemas e anomalias.
Explora dashboards predefinidos e realiza consultas simples para obter insights a partir de logs e dados de monitoramento.
Aplica filtros básicos no Kibana para buscar dados relevantes e gerar relatórios simples para monitoramento e auditoria de sistemas.</t>
  </si>
  <si>
    <t>Cria e personaliza dashboards no Kibana, configurando visualizações que atendem às necessidades específicas da equipe ou da organização.
Configura alertas no Kibana para detectar comportamentos anômalos e agir proativamente para prevenir incidentes.
Utiliza Kibana para realizar análise de logs e métricas, ajudando a identificar gargalos, falhas de performance e potenciais problemas de segurança em tempo real.
Integra Kibana com outras ferramentas de monitoramento, como Elasticsearch e Logstash, para criar um sistema de monitoramento unificado.
Interpreta dados do Kibana, extraindo insights relevantes e realizando análise de causa raiz para incidentes e falhas no sistema.
Fornece insights e relatórios baseados em dados do Kibana, ajudando na tomada de decisões e otimização de sistemas e processos.</t>
  </si>
  <si>
    <t>Desenha e implementa arquiteturas de monitoramento e análise com Kibana, configurando pipelines de dados completos e criando dashboards altamente personalizados que oferecem uma visão detalhada de sistemas complexos.
Lidera a integração de Kibana com outras ferramentas de monitoramento, como Elasticsearch, Logstash e Beats, criando soluções robustas de monitoramento, análise de logs e métricas.
Cria soluções avançadas de alertas no Kibana, personalizando alertas complexos para monitoramento contínuo, garantindo respostas rápidas a incidentes e falhas de sistemas.
Desenvolve e documenta boas práticas de uso do Kibana, criando padrões e treinamentos internos sobre como utilizar o Kibana para otimizar a monitorização e a análise de dados.
Realiza análises avançadas de dados, criando dashboards dinâmicos e interativos que fornecem insights profundos sobre performance, segurança e saúde dos sistemas em tempo real.
Lidera iniciativas de melhoria contínua no uso de Kibana, otimizando consultas e dashboards, buscando sempre maior eficiência no processamento de dados e na criação de visões gerenciais e operacionais.</t>
  </si>
  <si>
    <t>Compreende os conceitos básicos do formato YAML, como estrutura de dados e sintaxe (ex: indentação, listas e dicionários).
Dá manutenção em arquivos YAML simples</t>
  </si>
  <si>
    <t>Escreve e edita arquivos YAML complexos, com múltiplos níveis de configuração e parâmetros dinâmicos, para diferentes ferramentas e processos.
Integra arquivos YAML com sistemas de automação, como pipelines de DevOps e ferramentas de monitoramento, para definir variáveis de ambiente, configurações de build e deploy, etc.
Valida e testa arquivos YAML para garantir que estão corretamente estruturados e livres de erros, utilizando ferramentas de linting e outras automações.
Documenta e mantém a estrutura dos arquivos YAML, facilitando a leitura e a compreensão das configurações por outros membros da equipe.</t>
  </si>
  <si>
    <t>Desenha e implementa padrões de estrutura de YAML para toda a equipe ou organização, garantindo consistência e boas práticas na criação de configurações e definições de sistemas.
Lidera a integração de arquivos YAML com fluxos de trabalho complexos, como configurações de Kubernetes, pipelines de CI/CD e definições de rede e serviços em Docker.
Otimiza a estrutura e o desempenho de arquivos YAML, criando soluções altamente escaláveis e eficientes para ambientes dinâmicos de deploy e configuração.
Realiza auditorias e revisão de código em YAML, garantindo que as configurações atendam aos requisitos de segurança, escalabilidade e eficiência.
Desenvolve e ministra treinamentos internos sobre como usar YAML de forma eficaz e como aplicar melhores práticas no gerenciamento de configurações de sistemas complexos.
Implanta soluções inovadoras com YAML, como automação de escalabilidade e resiliência para ambientes em containers ou clusters, utilizando configurações avançadas de orquestração.</t>
  </si>
  <si>
    <t>Conhece os comandos básicos do NPM, como npm install, npm update e npm uninstall, para gerenciar dependências de pacotes em projetos Node.js.
Instala pacotes e dependências para ambientes de desenvolvimento, utilizando o NPM para garantir a compatibilidade de versões.
Compreende o funcionamento do arquivo package.json, incluindo como adicionar e gerenciar dependências.
Configura scripts simples no package.json, como build, test e start, para automatizar tarefas no projeto de desenvolvimento.</t>
  </si>
  <si>
    <t>Gerencia o ciclo de vida das dependências em projetos, incluindo o versionamento e a instalação de dependências específicas para diferentes ambientes (desenvolvimento, produção, etc.).
Configura o NPM para integrar com ferramentas de CI/CD
Cria e mantém scripts de build para compilação de código.
Usa NPM para configurar e gerenciar ambientes de desenvolvimento, garantindo que todas as dependências sejam compatíveis e que os projetos sejam reproduzíveis em diferentes máquinas.</t>
  </si>
  <si>
    <t>Cria e gerencia repositórios de pacotes privados no NPM, incluindo a configuração de publicação e versionamento de pacotes personalizados da organização.
Lidera a configuração e manutenção de dependências de projetos em larga escala, garantindo que todos os pacotes estejam atualizados e gerenciados de maneira eficiente.
Desenvolve e compartilha melhores práticas e padrões de utilização do NPM para otimização de workflows e integração com outras ferramentas de automação.
Desenvolve e compartilha bibliotecas de scripts reutilizáveis, como scripts de build ou de teste, para padronizar a execução de tarefas em diferentes projetos.
Fornece treinamentos internos e orientação sobre a utilização do NPM, incluindo técnicas avançadas como gerenciamento de versões de pacotes, publicações de pacotes privados e integração com ferramentas de monitoramento e automação.
Resolve problemas complexos relacionados ao gerenciamento de dependências, como conflitos de versão, pacotes com vulnerabilidades ou a configuração de ambientes de build em projetos com múltiplos repositórios.</t>
  </si>
  <si>
    <t>Compreende os conceitos fundamentais de observabilidade e monitoramento, como logs, métricas e tracing.
Conhece as principais ferramentas de monitoramento, como Prometheus, Grafana, ELK Stack (Elasticsearch, Logstash, Kibana) e outras, e entende sua aplicação em sistemas distribuídos.
Sabe como configurar as ferramentas para coletar dados básicos, como métricas de CPU, memória, e logs de eventos.
Entende a importância da observabilidade para garantir a saúde e performance de sistemas e serviços, sabendo diferenciar entre monitoramento reativo e proativo.</t>
  </si>
  <si>
    <t>Configura e utiliza ferramentas de monitoramento de forma efetiva, como Prometheus, Grafana, ELK, e outras, para acompanhar a saúde de sistemas e infraestruturas.
Define métricas e logs relevantes para observar a performance de serviços, garantindo que eventos críticos sejam detectados e tratados rapidamente.
Interpreta os dados de monitoramento para identificar problemas de performance, gargalos e falhas em sistemas e infraestruturas.
Implementa alertas proativos para detectar anomalias e potenciais falhas antes que impactem os usuários finais, utilizando ferramentas como Grafana ou Prometheus.
Utiliza técnicas de tracing distribuído, como o OpenTelemetry, para garantir visibilidade detalhada sobre a comunicação entre microserviços e sistemas distribuídos.</t>
  </si>
  <si>
    <t>Desenha e implementa uma estratégia robusta de observabilidade e monitoramento, que cobre todos os níveis do sistema (infraestrutura, rede, microserviços, e aplicações).
Cria arquiteturas de monitoramento distribuído, integrando múltiplas ferramentas e serviços para garantir uma visão unificada e acionável da saúde dos sistemas.
Desenvolve métricas avançadas para monitoramento, como SLIs (Service Level Indicators), SLOs (Service Level Objectives) e SLAs (Service Level Agreements), e ensina a importância desses indicadores.
Define políticas de alertas e thresholds baseados em análise preditiva e performance, usando automação para reduzir o ruído e melhorar a precisão das notificações.
Lidera a equipe na adoção de práticas de observabilidade avançadas, como tracing distribuído, logs estruturados e métricas customizadas para resolver problemas complexos e identificar a causa raiz de falhas.
Realiza treinamentos internos sobre como implementar e otimizar a observabilidade em sistemas de grande escala, passando boas práticas para a equipe de DevOps e outros times técnicos.</t>
  </si>
  <si>
    <t>Conhece a sintaxe básica do PowerShell e utiliza comandos simples para automação de tarefas no sistema operacional.
Executa scripts PowerShell básicos, como manipulação de arquivos e diretórios, automação de configurações simples e execução de processos no Windows.
Utiliza cmdlets do PowerShell para gerenciar recursos no ambiente local ou remoto, como gerenciamento de usuários, serviços e processos.
Entende a estrutura de loops, condicionais e variáveis em PowerShell, aplicando esses conceitos em scripts simples para facilitar o gerenciamento de sistemas.</t>
  </si>
  <si>
    <t>Cria e executa scripts PowerShell mais complexos para automação de tarefas do cotidiano no ambiente de DevOps, como deploys automáticos, integração com APIs e configuração de servidores.
Integra o PowerShell com outras ferramentas, como Azure, Docker e Kubernetes, para automação de gerenciamento de recursos em nuvem, containers e orquestração de infraestrutura.
Utiliza o PowerShell para tarefas de gerenciamento de configuração e infraestrutura, como instalar, configurar e monitorar servidores, bem como coletar métricas do sistema.
Desenvolve funções e módulos PowerShell, reutilizando código para tarefas recorrentes, aumentando a eficiência das automações dentro da equipe de DevOps.
Executa scripts de gerenciamento remoto em máquinas, utilizando PowerShell Remoting, garantindo agilidade e escalabilidade nas tarefas de administração de múltiplos servidores.</t>
  </si>
  <si>
    <t>Desenha e implementa scripts e soluções PowerShell complexas para automação de processos críticos em ambientes de produção, como provisionamento de servidores, integração com plataformas de nuvem e deploys automatizados.
Integra PowerShell com ferramentas de CI/CD, como Jenkins, Azure DevOps, e outras, para facilitar o fluxo de automação em pipelines e ambientes de entrega contínua.
Desenvolve e mantém módulos PowerShell personalizados para gerenciar toda a infraestrutura e recursos de sistemas, melhorando a consistência e a confiabilidade do ambiente.
Lidera a equipe na criação de padrões e melhores práticas para o uso de PowerShell, garantindo scripts eficientes, seguros e fáceis de manter.
Realiza treinamentos internos sobre o uso avançado do PowerShell, incluindo tópicos como manipulação avançada de objetos, integração com APIs REST, e automação de tarefas em ambientes híbridos ou multi-nuvem.
É responsável pela implementação de soluções de automação para monitoramento e gerenciamento de infraestrutura em larga escala, utilizando o PowerShell para reduzir a complexidade e aumentar a resiliência da infraestrutura de TI.</t>
  </si>
  <si>
    <t>Compreende o básico sobre o Prometheus como ferramenta de monitoramento e coleta de métricas.
Sabe como instalar o Prometheus e configurá-lo para coletar métricas de sistemas e serviços simples, como métricas de CPU, memória e uso de disco.
Familiariza-se com a sintaxe básica do PromQL (Prometheus Query Language) para consultar e extrair métricas simples.
Configura alertas básicos no Prometheus para monitoramento de métricas críticas, como uso excessivo de recursos ou falhas em serviços.
Integra Prometheus com outros serviços básicos, como Grafana, para visualização de métricas em dashboards simples.</t>
  </si>
  <si>
    <t>Configura o Prometheus em ambientes de produção para monitorar a saúde e desempenho de microserviços, servidores e infraestrutura.
Escreve e executa consultas PromQL mais complexas para extrair métricas detalhadas e relevantes para diagnóstico de problemas e performance do sistema.
Integra Prometheus com outras ferramentas de monitoramento, como Grafana, para criar dashboards interativos e visuais que facilitam a interpretação de métricas em tempo real.
Cria e configura alertas mais avançados, como detecção de anomalias, e implementa ações automáticas (como escalonamento de recursos ou reinicialização de serviços) baseados em métricas monitoradas.
Utiliza o Prometheus para monitorar aplicações e ambientes distribuídos, como microserviços, containers e sistemas em nuvem, aplicando melhores práticas de instrumentação de código e coleta de métricas customizadas.
Integra o Prometheus com outros sistemas de gestão de incidentes e automação de DevOps, como Teams ou e-mail, para garantir uma resposta rápida a eventos críticos.</t>
  </si>
  <si>
    <t>Desenha e implementa arquiteturas de monitoramento completas com Prometheus para ambientes de grande escala, abrangendo não só métricas de sistema, mas também métricas de negócios e de performance de aplicações.
Configura e otimiza o Prometheus para monitoramento em sistemas distribuídos e altamente escaláveis, como Kubernetes, clusters em nuvem e ambientes multi-cloud.
Desenvolve dashboards avançados em Grafana, utilizando Prometheus como fonte de dados, para monitoramento proativo de toda a infraestrutura e aplicações, com visualizações detalhadas de métricas e logs.
Cria métricas customizadas e integrações de Prometheus com outras ferramentas de observabilidade e automação, como tracing distribuído com OpenTelemetry e logs estruturados com ELK.
Lidera a equipe no uso de Prometheus para diagnosticar e resolver problemas complexos de performance, como gargalos em sistemas e falhas intermitentes em ambientes altamente dinâmicos.
Realiza treinamentos internos sobre a implementação e uso avançado do Prometheus, incluindo tópicos como instrumentação de aplicações, configuração de métricas customizadas e boas práticas para otimização de consultas PromQL.
Implanta políticas de monitoramento e alertas de alta disponibilidade, garantindo a visibilidade total da saúde de sistemas críticos e a automação de respostas para garantir a estabilidade e resiliência da infraestrutura.</t>
  </si>
  <si>
    <t>Conhece os comandos básicos de Shell e como usá-los para manipular arquivos, diretórios e processos no terminal.
Escreve scripts simples para automação de tarefas repetitivas, como backups, monitoramento básico e manipulação de arquivos de log.
Compreende a estrutura de controle de fluxo (if, for, while, etc.) e pode aplicar em scripts para condições e loops básicos.
Conhece os princípios de variáveis e argumentos em Shell scripts, podendo usá-los para personalizar a execução de tarefas automatizadas.
Executa scripts para facilitar tarefas operacionais como instalação de pacotes, atualizações de sistema e configuração de serviços em servidores.</t>
  </si>
  <si>
    <t>Escreve scripts mais complexos para automatizar processos de infraestrutura, como configurações de servidores, provisionamento de ambientes, ou integração entre ferramentas.
Manipula e processa arquivos de log, extraindo e formatando dados importantes para relatórios e alertas automatizados.
Desenvolve e mantém scripts para tarefas de monitoramento de sistemas e aplicações, garantindo que as métricas de performance sejam coletadas e analisadas periodicamente.
Automatiza a instalação e configuração de serviços em servidores, como web servers, bancos de dados ou outras ferramentas essenciais.
Utiliza Shell Script para orquestrar operações de CI/CD, como a automação de builds, testes e implantações em pipelines.
Gerencia erros e exceções em Shell Script, criando soluções robustas para falhas que podem ocorrer durante a execução de processos automatizados.</t>
  </si>
  <si>
    <t>Desenvolve scripts avançados para automação de infraestrutura em larga escala, aplicando melhores práticas de modularidade, reutilização de código e otimização de desempenho.
Lidera a criação e manutenção de scripts para operações de alta complexidade, como orquestração de containers, gerenciamento de redes ou automação de infraestrutura como código (IaC).
Integra Shell Scripts com outras ferramentas e tecnologias para garantir que os sistemas sejam gerenciados de forma eficiente, como integração com Kubernetes, Docker, AWS CLI, ou Azure CLI.
Automatiza processos de segurança e compliance com Shell Scripts, como auditorias de configurações, implementações de patches de segurança ou atualizações de sistemas.
Cria frameworks e bibliotecas reutilizáveis de Shell Script para que outros membros da equipe possam utilizá-los em suas automações.
Lidera treinamentos internos sobre o uso eficiente de Shell Script para automação, incluindo melhores práticas, técnicas avançadas e como integrar Shell Script com ferramentas de DevOps e CI/CD.
Resolve problemas complexos de infraestrutura e performance utilizando Shell Script, otimizando recursos e criando soluções escaláveis e de alta performance.</t>
  </si>
  <si>
    <t>Possui conhecimento introdutório sobre os impactos da Reforma Tributária nos produtos e processos da empresa.
Está ciente das mudanças mais relevantes e participa de reuniões ou treinamentos sobre o tema.
Busca compreender como as alterações afetam o sistema, mesmo que ainda dependa de direcionamentos técnicos ou funcionais para aplicar essas mudanças.
Consegue apoiar pequenas tarefas relacionadas, como ajustes simples em regras tributárias ou cenários de testes básicos.</t>
  </si>
  <si>
    <t>Entende de forma clara os principais impactos da Reforma Tributária sobre os produtos e serviços da empresa, colaborando ativamente na adaptação do sistema às novas regras.
Participa da análise de requisitos, propondo soluções técnicas (ou estratégias de testes, no caso de Q.A.) compatíveis com a nova legislação.
Contribui com o time para garantir a consistência das alterações, seja desenvolvendo funcionalidades, ajustando cenários ou validando a lógica fiscal.
Acompanha atualizações e compartilha conhecimentos com a equipe, antecipando possíveis impactos em módulos integrados.</t>
  </si>
  <si>
    <t>Atua como referência técnica ou funcional sobre os impactos da Reforma Tributária, orientando colegas de diferentes áreas sobre as mudanças e melhores práticas.
Propõe soluções robustas e sustentáveis que atendem às exigências legais e ao mesmo tempo agregam valor ao produto.
Coordena ou lidera iniciativas de adaptação à nova legislação, promovendo alinhamento entre áreas de negócio e técnica.
Garante que as alterações decorrentes da Reforma Tributária estejam bem documentadas, testadas e comunicadas, assegurando conformidade e minimização de riscos operacionais.</t>
  </si>
  <si>
    <t>Adoção de IA</t>
  </si>
  <si>
    <t>Possui noções básicas sobre Inteligência Artificial e suas aplicações no contexto do desenvolvimento e qualidade de software.
Explora ferramentas e APIs de IA sob orientação, realizando experimentações iniciais em cenários simples ou controlados.
Demonstra interesse em entender como a IA pode melhorar processos, como automação de testes, análise de logs, recomendações ou refatoração de código.
Participa de treinamentos e discussões sobre o tema, contribuindo com questionamentos e aprendizados.</t>
  </si>
  <si>
    <t>Aplica recursos de IA em tarefas específicas do dia a dia, como geração de código, análise de desempenho, automação de testes ou melhoria na experiência do usuário.
Avalia criticamente as soluções baseadas em IA, considerando limitações, vieses e impactos técnicos ou éticos.
Colabora com a equipe na escolha e integração de ferramentas de IA no fluxo de desenvolvimento, testes ou infraestrutura.
Propõe melhorias contínuas baseadas em IA, promovendo ganho de produtividade, qualidade ou insights.</t>
  </si>
  <si>
    <t>Conhecimento de Funcionalidades Específicas do Produto (Geral)</t>
  </si>
  <si>
    <t>Compreende a funcionalidade do produto e como essa funcionalidade se integram com os módulos e processos do sistema.
Consegue realizar tarefas e entender o funcionamento básico da funcionalidade com base em documentações ou treinamento fornecido pela equipe ou pela organização.
Segue os fluxos e processos do produto de forma adequada, de acordo com os requisitos do sistema ou as especificações definidas.
Identifica como a funcionalidade afeta a operação e o desempenho geral do sistema.
Se comunica sobre a funcionalidade de forma clara com os membros da equipe, usando terminologias e conceitos comuns relacionados ao produto.</t>
  </si>
  <si>
    <t>Desenvolve e/ou testa a funcionalidade específica do produto, entendendo como ela interagem com outros sistemas e com o fluxo geral do produto.
Participa ativamente do processo de desenvolvimento ou melhoria da funcionalidade, fornecendo contribuições baseadas no entendimento aprofundado das necessidades e requisitos.
Aplica o conhecimento da funcionalidade no dia a dia, resolvendo problemas ou implementando melhorias contínuas com foco em como elas impactam o cliente ou o usuário final.
Fornece feedbacks construtivos sobre o produto, ajudando a equipe a melhorar a usabilidade, eficiência e performance da funcionalidade.
Se adapta rapidamente a mudança na funcionalidade e comunica suas implicações para o restante da equipe de forma clara e eficiente.
Contribui para a documentação da funcionalidade, garantindo que o conhecimento esteja acessível para todos os envolvidos no processo de desenvolvimento e teste.</t>
  </si>
  <si>
    <t>Tem um conhecimento profundo e abrangente na funcionalidade, sendo capaz de identificar e antecipar possíveis problemas e pontos de melhoria, mesmo em áreas complexas ou não documentadas.
Proporciona soluções inovadoras e eficazes para melhorar ou otimizar a funcionalidade, através de propostas baseadas no entendimento total da operação do sistema e das necessidades do cliente.
Lidera e orienta outros membros da equipe sobre as melhores práticas para implementação, testes e manutenção da funcionalidade, com foco em alta qualidade e desempenho.
Treina outros membros da equipe em relação à funcionalidade, compartilhando melhores práticas, estratégias de otimização e como lidar com mudanças complexas no produto.
Anticipa e resolve problemas na funcionalidade, garantindo que as soluções sejam sustentáveis e escaláveis.
Desenvolve e/ou coordena workshops internos e sessões de conhecimento sobre a funcionalidade, assegurando que todos os envolvidos no ciclo de vida do produto tenham uma compreensão sólida e atualizada.
É referência interna sobre a funcionalidade, sempre consultado para soluções complexas ou para esclarecer pontos cruciais que impactam a experiência do cliente ou os objetivos do produto.</t>
  </si>
  <si>
    <t>O desenvolvedor nível Bronze possui entendimento funcional das principais etapas do fluxo de importação de documentos, conseguindo identificar onde cada parte é executada no código e reconhecendo os módulos envolvidos e suas responsabilidades básicas. Aplica regras de negócio já definidas quando especificadas e realiza correções pontuais de bugs com apoio técnico.
Implementa tarefas bem especificadas com orientação, avalia impactos locais dentro do módulo alterado e executa testes existentes para validação básica das alterações. Consegue realizar debug em cenários conhecidos, mas necessita suporte para análises mais complexas ou investigações aprofundadas.
Ainda depende de acompanhamento técnico em demandas de maior complexidade, atuando sob direcionamento e contribuindo conforme escopo previamente delimitado.</t>
  </si>
  <si>
    <t>O desenvolvedor nível Prata compreende o fluxo de importação ponta a ponta, incluindo integrações, validações, dependências entre módulos e regras de negócio complexas. Atua de forma autônoma na correção de bugs, conduz análises de causa raiz e implementa funcionalidades completas avaliando impactos no fluxo como um todo.
Entende claramente responsabilidades, contratos e dependências entre módulos, cria e mantém testes automatizados quando aplicável e diagnostica problemas técnicos de forma independente, inclusive em cenários de integração e inconsistência de dados.
Possui autonomia técnica para sustentar o módulo, colabora ativamente com o time e propõe melhorias incrementais visando qualidade e manutenção do fluxo.</t>
  </si>
  <si>
    <t>O desenvolvedor nível Ouro possui visão sistêmica e aprofundada de todo o fluxo de importação de documentos, abrangendo arquitetura, integrações externas, regras críticas, performance, escalabilidade e riscos operacionais. Domina as interações entre módulos e antecipa impactos técnicos antes da implementação de mudanças.
Atua em incidentes críticos e problemas complexos, inclusive estruturais, conduz análises avançadas de diagnóstico e define abordagens técnicas para novas implementações. Participa da definição e evolução de regras junto ao negócio, revisa e estabelece padrões técnicos e define estratégias de qualidade e testes.
É referência técnica do módulo, apoia o desenvolvimento de outros profissionais, conduz decisões técnicas relevantes e propõe melhorias estruturais que aumentem robustez, manutenibilidade e eficiência do fluxo.</t>
  </si>
  <si>
    <t>Foi treinado em containers e orquestração, aplica utilizando documentação oficial e padrões já definidos. Consegue criar e gerenciar containers Docker, realizar deploy em Kubernetes (ou outro orquestrador) e operar ambientes existentes com autonomia operacional. Utiliza automações e pipelines já estruturados, entende os principais conceitos como imagem, container, registry, pods, services e deployments. Realiza troubleshooting básico por meio de análise de logs e status dos recursos e consegue gerenciar casos intermediários envolvendo variáveis, volumes, redes e secrets.</t>
  </si>
  <si>
    <t>Foi acompanhado e validado na execução de ambientes containerizados, sendo capaz de identificar falhas, problemas de performance e oportunidades de melhoria. Atua na criação de novos ambientes e arquiteturas, identifica gaps de FinOps relacionados a custos de cluster e recursos superdimensionados. Domina Helm, YAML avançado e estratégias de deploy como rolling update, blue/green e canary. Propõe melhorias em arquitetura de nuvem, rede, builds e processos DevOps, aplicando boas práticas de segurança, escalabilidade e alta disponibilidade. Executa troubleshooting avançado e atua com visão crítica sobre eficiência e resiliência da solução.</t>
  </si>
  <si>
    <t>É referência técnica em containers e orquestração, possuindo domínio não apenas operacional, mas também estratégico dos conceitos de mercado que envolvem cloud native, microserviços, arquitetura distribuída e SRE. Tem capacidade de treinar e formar outros profissionais, definir padrões e governança para uso de containers na organização e conduzir decisões arquiteturais de alto impacto. Atua na definição de estratégias multi-cloud ou híbridas, otimização estruturada de custos (FinOps), segurança da cadeia de build e observabilidade. Influencia a maturidade técnica do time e estabelece direcionamento estratégico para a evolução do ecossistema de containers.</t>
  </si>
  <si>
    <t xml:space="preserve">Conhecer todos os layouts e documentos processados pelo sistema e conseguir identificá-los. 
(NFe,CTe,MDFe,NFSe,NFCom,DCe,GTVe)
Executar a transformação de arquivos via ConnectUs e analisar o resultado da transformação.
Entender as informações de persistência nas tabelas de request e return data.
Conhecer os tipos de integração utilizados com o cliente: Fiscal, Integrator, API v1, API v2, API Connector e WebService.
Compreender o funcionamento das filas de integração.
</t>
  </si>
  <si>
    <t xml:space="preserve">Além de identificar os layouts, conseguir alterar informações dos documentos em qualquer formato processado (TXT, XML e JSON).
Construir um novo arquivo com base nos manuais de criação de layouts.
Entender o fluxo de retorno dos documentos, identificando quando o documento foi ou não retornado ao cliente.
Analisar o client do cliente, identificando:
•	Quais CNPJs estão vinculados.
•	Quais clients possuem determinado CNPJ.
Instalar e configurar o Fiscal Cliente e o Integrator.
Conhecer e executar as chamadas das APIs de integração.
</t>
  </si>
  <si>
    <t xml:space="preserve">Ser referência técnica nos conhecimentos dos níveis Bronze e Prata.
Entender o fluxo completo de cadastro de client, incluindo processos de emissão e recepção de documentos.
Configurar client tanto pela interface do sistema quanto diretamente via arquivos de configuração.
Compreender os principais itens que compõem o config, suas funções e impactos no fluxo de integração.
</t>
  </si>
  <si>
    <t xml:space="preserve">
Consegue se orientar e entender os fluxos básicos de portal e seus impactos, como cadastro de Empresa, Licença entre outras funcionalidades padrões da plataforma, assim como entende a função de um identity/Policies/Platform e demais módulos labs no contexto da plataforma e no funcionamento do Portal e os impactos que ele geram.
Consegue analisar corretamente problemas no portal através de logs das APIs que compõe o portal e também de host que consomem ações derivadas do Portal.</t>
  </si>
  <si>
    <t xml:space="preserve">
Consegue realizar manutenção e configurações adequadas no servidor com os módulos referentes a portal, tendo familiaridade com cofiguração de módulos Labs, conceito de customseeds, gateways, 
policies e como procurar e resolver problemas que ocorrem com relação a esses módulos.
Compreende com maior segurança e detalhamento os fluxos do portal de integração com módulos que consomem chamadas oriundas do portal, como envios de email, downloads e outras ações executadas no portal.
Consegue executar uma atividade executando validações completas de integração do portal, ações, configurações e levantar pontos de atenção importantes em apresentações, </t>
  </si>
  <si>
    <t xml:space="preserve">
Tem total dominio do portal com relação a impactos e fluxos que compreendem as funcionalidades do portal, com capacidade para sugerir melhoria em definiçoes de negócio, apresentações de demandas e outras reuniões que envolvam alteração de regras ou mudança de funcionalidade no portal.
Consegue capacitar outras pessoas a correta utilização e mapeamento de funcionalidades.
Entende cada funcionalidade como por exemplo Rastreio, Operações, Power-BI, Configurações,  Volumetrias e demais funcionalidades importantes e prioritárias, e como utilizar e configurar de acordo e suas corretas dependencias.
Entende o fluxo de Segregação de dados, data-keys e outras dependencias de usuários e como é concedido permissões e gerenciamento de permissões.
Tem conhecimento de como opera os módulos de dependencias do labs e seus reais impactos no portal</t>
  </si>
  <si>
    <t xml:space="preserve">Conhecer o Integrator e sua finalidade no processo de integração.
Entender os principais métodos utilizados para envio e busca de documentos.
Compreender o papel do Integrator dentro do fluxo de integração.
</t>
  </si>
  <si>
    <t xml:space="preserve">Instalar e configurar o Integrator.
Configurar mapas para transformação de documentos.
Entender o fluxo completo dentro do Integrator até o envio do documento.
Criar fluxos básicos de integração.
Entender as configurações das filas de retorno.
Conhecer e identificar as filas de importação.
</t>
  </si>
  <si>
    <t xml:space="preserve">Ser capaz de orientar e ensinar colaboradores mais novos a instalar e configurar o Integrator.
Entender o cadastro de integrator_client e suas relações.
Criar e analisar fluxos de integração mais complexos.
Configurar e analisar mapeadores de envio e de retorno.
</t>
  </si>
  <si>
    <t>Foi treinado ou estudos as ferramentas e aplica no dia a dia seguindo padrões internos e documentações oficiais. Consegue instalar, configurar e operar Windows Server (recursos Server Management), SQL Server (Logs, limpezas e manutenção basica), IIS e certificados digitais com apoio de documentação interna. Executa tarefas operacionais como criação de sites no IIS, configuração básica de pools de aplicação, liberação e verificação de portas de rede, instalação de certificados (NDD assinatura e NDD DNS), permissões no Windows, recursos necessários para funcionamento da Plataforma no Windows. Analisa e resolve problemas de nível basico a intermediário, seguindo procedimentos já definidos e boas práticas estabelecidas pela equipe. Atua com segurança operacional, executando conforme orientações e padrões vigentes.</t>
  </si>
  <si>
    <t>Configura ambientes do zero com autonomia, baseando-se em documentações oficiais e boas práticas de mercado. Possui conhecimento pleno de execução autodidata, compreendendo os conceitos técnicos por trás das configurações realizadas. Realiza instalação, hardening(processo de fortalecer a segurança de infraestrutura) e manutenção de Windows Server, SQL Server e IIS, incluindo configuração de segurança, performance, certificados SSL/TLS, bindings, autenticação, permissões, tuning de banco e troubleshooting(diagnóstico e resolução de problemas) avançado. Entende os motivos técnicos das decisões atuais de arquitetura e consegue explicar diferenças entre versões, modos de configuração e necessidades específicas do ambiente. Identifica problemas, propõe e implementa melhorias estruturais, atuando de forma preventiva e evolutiva.</t>
  </si>
  <si>
    <t>Possui conhecimento avançado e visão estratégica sobre a stack Microsoft, atuando como referência técnica. Contribui nas tomadas de decisão em nível de arquitetura, integração com times de Arquitetura e DevOps e definição de padrões organizacionais. Avalia evoluções tecnológicas, impactos de upgrade, mudanças de versão, estratégias de alta disponibilidade, segurança avançada e conformidade. Treina e desenvolve outros profissionais, disseminando boas práticas e conceitos de mercado relacionados a infraestrutura, banco de dados, segurança e publicação de aplicações. Atua com visão sistêmica, garantindo performance, escalabilidade, segurança e alinhamento com as melhores práticas do mercado.</t>
  </si>
  <si>
    <t>Possui compreensão teórica e prática sobre o padrão de versionamento vigente na organização. É capaz de executar pipelines de build para componentes garantindo o uso das versões corretas e compreende a aplicação de versões genéricas (ex: 3.0.*) para facilitar atualizações menores. Entende os conceitos de Release Candidate (RC) e possui autonomia para rodar releases de hosts atualizados no TFS. Utiliza referências de pacotes NuGet seguindo os padrões estabelecidos, garantindo que as dependências estejam alinhadas ao ambiente de desenvolvimento.</t>
  </si>
  <si>
    <t>Atua ativamente na manutenção e evolução das pipelines de build e release dos componentes. Possui domínio técnico para alterar scripts de integração contínua, garantindo a integridade dos artefatos gerados. Aplica as boas práticas de componentização no dia a dia, evitando acoplamentos desnecessários e garantindo a retrocompatibilidade. Conhece o ecossistema de componentes internos da empresa, sendo capaz de identificar qual biblioteca deve ser utilizada ou atualizada para atender a uma nova demanda técnica.</t>
  </si>
  <si>
    <t>Atua como guardião das boas práticas de componentização e versionamento na organização. Possui visão estratégica para decidir sobre a granularidade dos pacotes, determinando com precisão o momento necessário para a criação de um novo componente versus a evolução de um existente. Dissemina conhecimento técnico, mentorando o time na resolução de conflitos de dependências complexas e na otimização do ciclo de vida dos artefatos. Define padrões de governança para o feed de NuGet, estratégias de branching para componentes e assegura que a arquitetura de software permaneça modular, escalável e de fácil manutenção.</t>
  </si>
  <si>
    <t>Possui compreensão básica do motor de bilhetagem e autonomia para adicionar novos documentos e tipos de eventos ao processo de medição. Conhece as distinções entre os fluxos de faturamento por licença e por volumetria, garantindo a correta categorização dos eventos. É capaz de extrair relatórios simples de consumo, identificando a distribuição de tipos de documentos processados em determinados períodos para conferência de dados.</t>
  </si>
  <si>
    <t xml:space="preserve">Domina a estrutura de dados do sistema de bilhetagem, sendo capaz de realizar manutenção avançada diretamente via banco de dados. Consegue rastrear o ciclo de vida de um bilhete, identificar falhas de processamento, divergências de contagem ou problemas de integração entre módulos. Atua na investigação de causas raiz para incidentes de faturamento, garantindo que as regras de negócio sejam aplicadas corretamente aos registros brutos.
</t>
  </si>
  <si>
    <t>É a autoridade técnica no fluxo de faturamento, detendo o domínio sobre as rotinas de reprocessamento de bilhetes e correção de massa de dados. Possui visão estratégica para orquestrar recuperações de bilhetagem sem gerar duplicidade ou impactos financeiros. Atua na instrução e formação do time, definindo os procedimentos padrão para o processamento de cada etapa e garantindo a resiliência e a auditabilidade de todo o ecossistema de bilhetagem.</t>
  </si>
  <si>
    <t>Compreende o funcionamento geral do fluxo de envio automático de e-mails relacionados aos produtos (NFe, CTe, NFSe e NFCom).
Conhece os principais componentes envolvidos no fluxo (Host de e-mail, filas do rabbit, configurações do portal).
Sabe identificar onde o fluxo está implementado (repositórios, solutions, hosts responsáveis).
Consegue habilitar, desabilitar ou ajustar configurações básicas relacionadas ao envio de e-mails.
Consegue analisar logs para verificar se um e-mail foi ou não enviado e identificar falhas básicas.
Consegue realizar validações básicas e ajustes simples sob orientação.</t>
  </si>
  <si>
    <t>Possui entendimento completo do fluxo de envio automático, incluindo integrações, dependências e mecanismos de processamento.
Está apto a implementar novas funcionalidades no fluxo de envio de e-mails, como ajustes de comportamento ou novos tipos de envio.
Consegue diagnosticar e corrigir problemas no fluxo, analisando logs, filas, estados intermediários e falhas de processamento.
Garante que novas implementações sigam os padrões existentes de arquitetura e tratamento de erros.
Consegue validar o impacto de alterações e realizar testes adequados para garantir a confiabilidade do fluxo.</t>
  </si>
  <si>
    <t>Possui profundo conhecimento técnico e funcional de todo o fluxo de envio automático de e-mails, incluindo arquitetura, escalabilidade e pontos críticos.
Atua como referência técnica para análise, desenho e evolução do fluxo de envio de e-mails.
É capaz de projetar e implementar melhorias estruturais, visando confiabilidade, resiliência, performance e observabilidade do fluxo.
Consegue identificar gargalos, riscos e oportunidades de melhoria, propondo soluções técnicas adequadas.
Apoia e orienta outros desenvolvedores na implementação, manutenção e troubleshooting do fluxo.
Participa ativamente de decisões arquiteturais relacionadas ao envio de e-mails e sua evolução.</t>
  </si>
  <si>
    <r>
      <rPr>
        <b/>
        <sz val="11"/>
        <color theme="1"/>
        <rFont val="Calibri"/>
        <family val="2"/>
        <scheme val="minor"/>
      </rPr>
      <t>Backend</t>
    </r>
    <r>
      <rPr>
        <sz val="11"/>
        <color theme="1"/>
        <rFont val="Calibri"/>
        <family val="2"/>
        <scheme val="minor"/>
      </rPr>
      <t xml:space="preserve">: Compreende o funcionamento das ações disponíveis no sistema, como envio de e-mail, download de documentos, impressão/PDF, geração de relatórios, envio ao ERP e reprocessamento.
Conhece quais tipos de documentos suportam cada ação (NFe, CTe, MDFe, NFSe, CTeOS, GTVe, NFCom, NF3e).
Consegue identificar os serviços, hosts e repositórios responsáveis pela execução dessas ações.
Entende os fluxos básicos que disparam cada ação, incluindo eventos, filas ou requisições do usuário.
Consegue analisar logs e identificar se uma ação foi executada com sucesso ou se ocorreu alguma falha.
Consegue realizar validações básicas e ajustes simples sob orientação.
</t>
    </r>
    <r>
      <rPr>
        <b/>
        <sz val="11"/>
        <color theme="1"/>
        <rFont val="Calibri"/>
        <family val="2"/>
        <scheme val="minor"/>
      </rPr>
      <t>Frontend</t>
    </r>
    <r>
      <rPr>
        <sz val="11"/>
        <color theme="1"/>
        <rFont val="Calibri"/>
        <family val="2"/>
        <scheme val="minor"/>
      </rPr>
      <t>: Conhecimento Operacional das Ações e Integrações com Host:
Compreende o funcionamento funcional das ações disponíveis no sistema (envio de e-mail, download, PDF, relatórios, envio ao ERP, reprocessamento etc.).
Conhece quais tipos de documentos suportam cada ação (NFe, CTe, MDFe, NFSe, CTeOS, GTVe, NFCom, NF3e).
Entende que cada ação depende de integrações com serviços/hosts específicos e consegue identificar:
- Qual host executa a ação
- Quais serviços estão envolvidos
- Repositórios e endpoints utilizados
Conhece os fluxos básicos que disparam cada ação (requisição do usuário, eventos, filas).
Consegue analisar logs para validar:
- Se a chamada ao host foi realizada
- Se houve retorno de sucesso ou erro
Realiza validações básicas e pequenos ajustes no frontend, com orientação.
Atua de forma reativa, com dependência técnica para investigações mais profundas no host.
Perfil: conhece o fluxo fim a fim, mas ainda não tem autonomia para atuar em problemas mais complexos de integração.</t>
    </r>
  </si>
  <si>
    <r>
      <rPr>
        <b/>
        <sz val="11"/>
        <color theme="1"/>
        <rFont val="Calibri"/>
        <family val="2"/>
        <scheme val="minor"/>
      </rPr>
      <t>Backend</t>
    </r>
    <r>
      <rPr>
        <sz val="11"/>
        <color theme="1"/>
        <rFont val="Calibri"/>
        <family val="2"/>
        <scheme val="minor"/>
      </rPr>
      <t xml:space="preserve">: Possui entendimento completo do funcionamento das ações, incluindo fluxo de execução, dependênciase mecanismos envolvidos.
Está apto a implementar novas funcionalidades ou ajustes em ações existentes, como adicionar suporte a novos documentos ou modificar comportamentos.
Consegue diagnosticar e corrigir falhas nas ações, analisando logs, filas, integrações e estados intermediários.
Garante que novas implementações sigam os padrões definidos de arquitetura, tratamento de erros e observabilidade.
Consegue validar corretamente o impacto de alterações, garantindo a confiabilidade e consistência das ações.
Atua com autonomia na manutenção e evolução das funcionalidades relacionadas às ações.
</t>
    </r>
    <r>
      <rPr>
        <b/>
        <sz val="11"/>
        <color theme="1"/>
        <rFont val="Calibri"/>
        <family val="2"/>
        <scheme val="minor"/>
      </rPr>
      <t>Frontend</t>
    </r>
    <r>
      <rPr>
        <sz val="11"/>
        <color theme="1"/>
        <rFont val="Calibri"/>
        <family val="2"/>
        <scheme val="minor"/>
      </rPr>
      <t>: Autonomia Técnica nas Ações e Entendimento Intermediário de Host
Possui entendimento técnico do fluxo completo da ação, incluindo:
Frontend → Backend → Host → Filas → Persistência → Retorno
Entende dependências, contratos e possíveis impactos de falhas na comunicação com o host.
Está apto a:
- Implementar novas ações ou evoluir ações existentes
- Adicionar suporte a novos documentos
- Ajustar comportamentos considerando regras do host
Consegue diagnosticar falhas envolvendo:
- Logs de aplicação
- Filas
- Estados intermediários
- Problemas de timeout, indisponibilidade ou inconsistência de retorno do host
Valida corretamente impactos de alteração, garantindo consistência e confiabilidade.
Segue padrões de arquitetura, tratamento de erros e observabilidade.
Já consegue interagir tecnicamente com backend com propriedade, entendendo o que precisa ser ajustado no host.
Perfil: atua com autonomia no front e consegue investigar e dialogar tecnicamente sobre integrações com host.</t>
    </r>
  </si>
  <si>
    <r>
      <rPr>
        <b/>
        <sz val="11"/>
        <color theme="1"/>
        <rFont val="Calibri"/>
        <family val="2"/>
        <scheme val="minor"/>
      </rPr>
      <t>Backend</t>
    </r>
    <r>
      <rPr>
        <sz val="11"/>
        <color theme="1"/>
        <rFont val="Calibri"/>
        <family val="2"/>
        <scheme val="minor"/>
      </rPr>
      <t xml:space="preserve">: Possui profundo conhecimento técnico e funcional da arquitetura e implementação das ações no sistema.
Atua como referência técnica na análise, definição e evolução das ações existentes e novas ações.
É capaz de projetar e implementar melhorias estruturais visando maior confiabilidade, performance, escalabilidade e manutenibilidade.
Consegue identificar gargalos, inconsistências e riscos no fluxo das ações, propondo soluções técnicas adequadas.
Apoia outros desenvolvedores na implementação e entendimento das ações.
Participa de decisões arquiteturais e definição de padrões relacionados às ações do sistema.
Promove melhorias contínuas, incluindo padronização, desacoplamento e evolução da arquitetura.
</t>
    </r>
    <r>
      <rPr>
        <b/>
        <sz val="11"/>
        <color theme="1"/>
        <rFont val="Calibri"/>
        <family val="2"/>
        <scheme val="minor"/>
      </rPr>
      <t>Frontend</t>
    </r>
    <r>
      <rPr>
        <sz val="11"/>
        <color theme="1"/>
        <rFont val="Calibri"/>
        <family val="2"/>
        <scheme val="minor"/>
      </rPr>
      <t>: Referência Técnica em Ações e Integrações com Host
Possui visão sistêmica e aprofundada da arquitetura das ações e das integrações com host.
Atua como referência técnica para:
- Definição de novas ações
- Evolução estrutural das integrações
- Padronização de comunicação com host
É capaz de:
- Projetar melhorias estruturais visando confiabilidade, performance e escalabilidade
- Reduzir acoplamento entre frontend, backend e host
- Identificar gargalos, riscos e inconsistências no fluxo das ações
Propõe e implementa melhorias como:
- Padronização de contratos
- Melhoria de tratamento de erros
- Evolução de observabilidade
- Estratégias de retry, fallback ou resiliência
Consegue antecipar impactos no host antes mesmo da implementação no front.
Está pronto para apoiar diretamente os times de backend em análises técnicas, definições arquiteturais e troubleshooting avançado.
Atua como multiplicador de conhecimento.
Perfil: domina o padrão de ações no frontend e tem maturidade suficiente em Host para colaborar tecnicamente com backend e evoluir a arquitetura.</t>
    </r>
  </si>
  <si>
    <r>
      <rPr>
        <b/>
        <sz val="11"/>
        <color rgb="FF000000"/>
        <rFont val="Calibri"/>
        <scheme val="minor"/>
      </rPr>
      <t xml:space="preserve">Dev: </t>
    </r>
    <r>
      <rPr>
        <sz val="11"/>
        <color rgb="FF000000"/>
        <rFont val="Calibri"/>
        <scheme val="minor"/>
      </rPr>
      <t xml:space="preserve">Tem noções básicas de Postman/Insomnia e sabe como usá-los para testar endpoints de APIs.
Realiza requisições simples, testa respostas e verifica o funcionamento de APIs em seu ambiente local.
Não possui familiaridade avançada com recursos como variáveis dinâmicas, testes automatizados ou monitoramento de API, mas entende sua função principal.
Realiza testes básicos para validar as respostas de API durante o desenvolvimento de recursos ou integrações com backend.
</t>
    </r>
    <r>
      <rPr>
        <b/>
        <sz val="11"/>
        <color rgb="FF000000"/>
        <rFont val="Calibri"/>
        <scheme val="minor"/>
      </rPr>
      <t xml:space="preserve">Q.A.: </t>
    </r>
    <r>
      <rPr>
        <sz val="11"/>
        <color rgb="FF000000"/>
        <rFont val="Calibri"/>
        <scheme val="minor"/>
      </rPr>
      <t>Teorico -
Métodos HTTP (GET, POST, PUT, DELETE)
Status codes (200, 201, 400, 401, 404, 500)
Estrutura básica de requisição (URL, Headers, Body)
JSON básico
- Tecnico
Criar requisições manuais
Enviar requests e analisar respostas
Enviar JSON no body
Configurar headers (Authorization)
Criar Collections básicas</t>
    </r>
  </si>
  <si>
    <r>
      <rPr>
        <b/>
        <sz val="11"/>
        <color rgb="FF000000"/>
        <rFont val="Calibri"/>
        <scheme val="minor"/>
      </rPr>
      <t xml:space="preserve">Dev : </t>
    </r>
    <r>
      <rPr>
        <sz val="11"/>
        <color rgb="FF000000"/>
        <rFont val="Calibri"/>
        <scheme val="minor"/>
      </rPr>
      <t xml:space="preserve">Utiliza Postman/Insomnia de forma eficiente para testar e validar endpoints de APIs, realizar chamadas dinâmicas e verificar respostas complexas de API.
Possui conhecimento de variáveis e consegue configurar ambientes para testes de diferentes versões de APIs.
Realiza testes de performance simples e começa a automatizar chamadas de API para validação de respostas durante o desenvolvimento.
</t>
    </r>
    <r>
      <rPr>
        <b/>
        <sz val="11"/>
        <color rgb="FF000000"/>
        <rFont val="Calibri"/>
        <scheme val="minor"/>
      </rPr>
      <t xml:space="preserve">Q.A.: </t>
    </r>
    <r>
      <rPr>
        <sz val="11"/>
        <color rgb="FF000000"/>
        <rFont val="Calibri"/>
        <scheme val="minor"/>
      </rPr>
      <t>Teorico -
Autenticação (Bearer Token,  OAuth 2.0)
Boas práticas de testes de API
Tecnico -
Criar e organizar Collections
Usar variáveis collection, globais
Criar scripts em Pre-request Script
Validar status code e estrutura de resposta
Importar Swagger 
Exportar collections</t>
    </r>
  </si>
  <si>
    <r>
      <rPr>
        <b/>
        <sz val="11"/>
        <color rgb="FF000000"/>
        <rFont val="Calibri"/>
        <scheme val="minor"/>
      </rPr>
      <t xml:space="preserve">Dev: </t>
    </r>
    <r>
      <rPr>
        <sz val="11"/>
        <color rgb="FF000000"/>
        <rFont val="Calibri"/>
        <scheme val="minor"/>
      </rPr>
      <t xml:space="preserve">É especialista em Postman/Insomnia, utilizando a ferramenta de maneira avançada para realizar testes complexos de APIs, incluindo o uso de variáveis dinâmicas, arquivos de dados externos e monitoramento de APIs.
Treina a equipe sobre melhores práticas no uso de Postman/Insomnia para testar, documentar e validar APIs de forma eficiente e escalável.
</t>
    </r>
    <r>
      <rPr>
        <b/>
        <sz val="11"/>
        <color rgb="FF000000"/>
        <rFont val="Calibri"/>
        <scheme val="minor"/>
      </rPr>
      <t xml:space="preserve">Q.A.: </t>
    </r>
    <r>
      <rPr>
        <sz val="11"/>
        <color rgb="FF000000"/>
        <rFont val="Calibri"/>
        <family val="2"/>
        <scheme val="minor"/>
      </rPr>
      <t>Teorico -
Estrategia de testes de API (Integração)
Tecnico -
Criar scripts em pre request scripts e automatizações sustentaveis dentro do postman
Encadear requisições (salvar token e reutilizar)
Criar e gerenciar testes automatizados da API dentro das collections do Postman
Criar rotinas de monitoramento e execução automatica dos testes e visualização de resultados</t>
    </r>
  </si>
  <si>
    <t>Conhece os diferentes tipos de transformações (Código/DLL, XSLT e Connectus) e atua no suporte e manutenção de mapeamentos existentes. É capaz de realizar alterações estruturais simples, como renomear ou adicionar tags, e ajustar regras básicas no Connectus. Possui autonomia para realizar validações técnicas, montar arquivos XML ou JSON a partir de objetos e manipular documentos utilizando XDocument, XmlDocument ou variantes. Utiliza o componente de XSLT para execuções rotineiras, criando testes automatizados conforme os padrões estabelecidos e garantindo o funcionamento das transformações sob supervisão ou seguindo documentação interna.</t>
  </si>
  <si>
    <t>Domina a operação interna do componente XSLT, sendo capaz de manipular o código-fonte, estruturar testes automatizados complexos e gerenciar o comportamento do componente. Atua na criação de novos mapeamentos tanto no Connectus quanto em XSLT, desenvolvendo regras compartilhadas para otimizar o reaproveitamento de código. Possui maturidade para dar manutenção na DLL de NFSe e implementar regras de negócio de alta complexidade no Connectus. Identifica falhas de lógica em transformações vigentes e propõe ajustes que garantam a integridade dos dados entre diferentes formatos e protocolos.</t>
  </si>
  <si>
    <t>É a referência técnica em estratégias de transformação, possuindo visão crítica sobre a eficiência, limitações técnicas e custos computacionais de cada abordagem (XSLT vs. DLL vs. Connectus). Domina arquiteturas complexas, como a implementação de loops em arquivos posicionais (TXT) e pipelines no Connectus que referenciam o documento de forma integral. Detém o conhecimento profundo sobre o ciclo de build e a componentização das soluções de XSLT e NFSe. Além de definir padrões de desenvolvimento e governança para as transformações da organização, tem capacidade de treinar o time, disseminar boas práticas de performance e conduzir a evolução técnica do ecossistema de integração.</t>
  </si>
  <si>
    <t>Possui conhecimento operacional sobre o ecossistema de APIs e conectores da organização, incluindo API Conector, NGProxy e WS Integração. É capaz de realizar chamadas técnicas via ferramentas como Postman, consumindo documentação para realizar a captura e consulta de documentos. Compreende a interação com os módulos Fiscal e Integrator, além de entender o fluxo de rastreio e integração com sistemas legados e a comunicação de novos modelos (como NFCom e NF3e) com o Front-end. Domina os protocolos de comunicação e as divergências entre APIs e camadas fiscais, além de aplicar corretamente as regras de licenciamento e permissionamento dentro do fluxo de integração.</t>
  </si>
  <si>
    <t>Demonstra autonomia para realizar o entendimento de problemas do fluxo de integração, sendo capaz de identificar gargalos e falhas de comunicação entre os módulos. Possui capacidade técnica para realizar manutenções e evoluções no código-fonte, seguindo rigorosamente os padrões de desenvolvimento estabelecidos. Consegue construir consultas complexas para busca de documentos e otimização de performance, garantindo que a troca de dados entre o Integrator e os sistemas fiscais ocorra de forma íntegra e eficiente.</t>
  </si>
  <si>
    <t>Atua com visão sistêmica sobre toda a arquitetura de integração, sendo capaz de identificar oportunidades de melhoria estrutural nos processos para aumentar a resiliência e a escalabilidade. É a autoridade técnica para definir e orientar o time sobre os padrões de design de APIs, segurança de protocolos e fluxos de dados entre o legado e as novas frentes. Atua como mentor, garantindo que a evolução do ecossistema de integrações (seja via NGProxy ou novos conectores) siga as melhores práticas de mercado e os requisitos de negócio da organização.</t>
  </si>
  <si>
    <t>Compreende o fluxo macro de comunicação entre a camada Fiscal e o Front-end, identificando as etapas e os componentes por onde os dados trafegam. Possui domínio operacional sobre as funções de ciclo de vida e atualização, sabendo manipular as interfaces do Front-end para disparar ações destinadas ao Fiscal. É capaz de realizar chamadas técnicas via API Connector para processos críticos, como execução de ações do Fiscal, coleta de logs, download de pacotes e monitoramento de status, garantindo a execução das rotinas operacionais básicas.</t>
  </si>
  <si>
    <t>Domina as responsabilidades intrínsecas do Host Settings dentro da arquitetura, compreendendo seu papel como orquestrador de configurações e estados. Possui autonomia para realizar manutenções no componente, identificar inconsistências de configuração e garantir que suas obrigações no fluxo (como a distribuição de parâmetros e diretrizes de execução) sejam cumpridas. É capaz de realizar o troubleshooting de comunicações interrompidas ou configurações mal aplicadas que impactem a sincronia entre as pontas.</t>
  </si>
  <si>
    <t>Atua com visão arquitetural sobre o Host Settings, sendo capaz de propor e implementar melhorias no fluxo de configuração e atualização para torná-lo mais resiliente e performático. É a referência técnica para o time, possuindo total capacidade de transmitir o conhecimento sobre o funcionamento interno do componente e seu impacto no ecossistema. Define padrões de segurança e escalabilidade para a gestão de hosts e orienta as decisões estratégicas sobre como as definições de ambiente devem evoluir para suportar novos modelos de negócio.</t>
  </si>
  <si>
    <t>Domina os fluxos operacionais de contingência para os diversos modelos de documentos, incluindo NFCom e processos que tramitam pelo host de transformação e retorno. Compreende as diferenças entre o acionamento manual e automático e sabe operar os principais protocolos de contingência do mercado, como EPEC, FS-DA e SVC (Sefaz Virtual de Contingência).</t>
  </si>
  <si>
    <t>Possui capacidade técnica para realizar manutenções corretivas e evolutivas nos componentes de contingência. Consegue identificar falhas na detecção automática de problemas e ajustar as regras de transição entre o fluxo normal e o de contingência. Atua na resolução de problemas complexos de sincronismo de retorno e tratamento de rejeições específicas de documentos emitidos em regime especial, garantindo a integridade fiscal e a conciliação correta dos documentos após a normalização do ambiente.</t>
  </si>
  <si>
    <t>É a autoridade máxima em estratégias de alta disponibilidade e continuidade de negócio no que tange à emissão fiscal. Possui visão crítica para propor melhorias estruturais que reduzam o tempo de resposta em casos de falha. Define os padrões de governança para o acionamento de contingências, orienta o time em cenários de crise e possui domínio profundo sobre as particularidades regulatórias de cada estado/modelo. Atua na arquitetura de soluções que previnem a perda de documentos e garante que o conhecimento técnico seja disseminado para elevar a resiliência operacional da organização.</t>
  </si>
  <si>
    <r>
      <rPr>
        <b/>
        <sz val="11"/>
        <color theme="1"/>
        <rFont val="Calibri"/>
        <family val="2"/>
        <scheme val="minor"/>
      </rPr>
      <t>Frontend:</t>
    </r>
    <r>
      <rPr>
        <sz val="11"/>
        <color theme="1"/>
        <rFont val="Calibri"/>
        <family val="2"/>
        <scheme val="minor"/>
      </rPr>
      <t xml:space="preserve"> Foi treinado ou estudou a documentação de integração com o Keycloak e compreende seu papel como solução de Gerenciamento de Identidade e Acesso (IAM) na arquitetura da aplicação. Conhece o conceito e o papel do Keycloak na autenticação e autorização. Conhece e compreende conceitos de Realm, Client, Client M2M, Audience, Scopes e Federation. A configuração básica necessária no frontend (clientId, scope, authority, responseType e theme.specs). A configuração de MultiAuthority no backend. O conceito de KID (Key ID) e sua relação com validação de tokens. A necessidade de alinhamento entre Authority e Audience. Compreende que devemos funcionar no modelo híbrido, onde Identity e Keycloak coexistem, e as APIs devem aceitar tokens de ambas as autoridades. Possui entendimento conceitual da integração com o keycloak, mas ainda não realiza implementações ou ajustes técnicos diretamente.
</t>
    </r>
    <r>
      <rPr>
        <b/>
        <sz val="11"/>
        <color theme="1"/>
        <rFont val="Calibri"/>
        <family val="2"/>
        <scheme val="minor"/>
      </rPr>
      <t xml:space="preserve">Q.A.: </t>
    </r>
    <r>
      <rPr>
        <sz val="11"/>
        <color theme="1"/>
        <rFont val="Calibri"/>
        <family val="2"/>
        <scheme val="minor"/>
      </rPr>
      <t>Foi treinado ou estudou os conceitos de integração com o Keycloak e compreende seu papel dentro da plataforma
Conhece os conceitos de: - Realm; - Client; - Client M2M; - Audience; - Scopes; - Federation; - Authority;
Compreende:
- O funcionamento da autenticação e autorização via token (JWT).
- A diferença entre autenticação de usuário final e M2M.
- O conceito de MultiAuthority e o cenário híbrido (Identity + Keycloak).
- Que as APIs devem aceitar tokens de ambas as autoridades.
No contexto de teste:
- Consegue validar cenários básicos de autenticação (sucesso e falha).
- Testa expiração de token.
- Testa ausência de escopo.
- Testa acesso com token inválido.
- Valida que endpoints protegidos exigem autenticação.</t>
    </r>
  </si>
  <si>
    <r>
      <rPr>
        <b/>
        <sz val="11"/>
        <color theme="1"/>
        <rFont val="Calibri"/>
        <family val="2"/>
        <scheme val="minor"/>
      </rPr>
      <t xml:space="preserve">Frontend: </t>
    </r>
    <r>
      <rPr>
        <sz val="11"/>
        <color theme="1"/>
        <rFont val="Calibri"/>
        <family val="2"/>
        <scheme val="minor"/>
      </rPr>
      <t xml:space="preserve">Possui conhecimento prático da integração com Keycloak, atuando na configuração e manutenção da autenticação no modelo híbrido (Identity + Keycloak). Possui certo domínio na documentação do KeyCloak disponibilizada pelo labs, já configurou e executou localmente o projeto e tem domínio na configuração. É capaz configurar corretamente o themes.spec.json com clientId, scope e authority, validar escopos configurados no Realm. Ajustar integração quando houver alteração de Realm ou Client. No Backend sabe configurar MultiAuthority para aceitar tokens do Identity e do Keycloak. Compreende o conceito de KID (Key ID) e sua relação com validação de tokens. Sabe diferenciar contexto de autenticação entre usuário final e M2M (Machine to Machine). Faz manutenção no serviço Keycloak para gestão de usuário e compreende a integração com o identity. Consegue analisar erros de Audience inválida, Authority incorreta, Token expirado, Escopo insuficiente. Apoia validações junto ao time Labs. Garante que APIs continuem funcionando no cenário híbrido. Atua na sustentação da autenticação, resolvendo problemas de nível básico a intermediário, seguindo os padrões definidos.
</t>
    </r>
    <r>
      <rPr>
        <b/>
        <sz val="11"/>
        <color theme="1"/>
        <rFont val="Calibri"/>
        <family val="2"/>
        <scheme val="minor"/>
      </rPr>
      <t xml:space="preserve">Q.A.: </t>
    </r>
    <r>
      <rPr>
        <sz val="11"/>
        <color theme="1"/>
        <rFont val="Calibri"/>
        <family val="2"/>
        <scheme val="minor"/>
      </rPr>
      <t>Possui conhecimento prático da autenticação com Keycloak no modelo híbrido (Identity + Keycloak).
É capaz de:
- Gerar tokens manualmente via Keycloak (usuário e M2M).
- Testar cenários com múltiplas Authorities.
- Apoiar validações quando há alteração de Realm ou Client.
- Validar se APIs continuam funcionando após mudanças de configuração.
- Executar testes regressivos em cenários de autenticação.
- Validar integração frontend ↔ backend considerando clientId, scope e authority.
Consegue analisar JWTs utilizando ferramentas apropriadas e identificar inconsistências básicas</t>
    </r>
  </si>
  <si>
    <r>
      <rPr>
        <b/>
        <sz val="11"/>
        <color theme="1"/>
        <rFont val="Calibri"/>
        <family val="2"/>
        <scheme val="minor"/>
      </rPr>
      <t>Frontend:</t>
    </r>
    <r>
      <rPr>
        <sz val="11"/>
        <color theme="1"/>
        <rFont val="Calibri"/>
        <family val="2"/>
        <scheme val="minor"/>
      </rPr>
      <t xml:space="preserve"> Possui conhecimento avançado da arquitetura de autenticação baseada em Keycloak, incluindo sua convivência com o Identity no modelo MultiAuthority. É referência técnica na definição, evolução e governança do modelo de autenticação. É capaz de: definir estratégia de migração segura de Identity para Keycloak, projetar arquitetura híbrida garantindo compatibilidade entre autoridades, definir padrões de configuração para múltiplas APIs, avaliar impactos de segurança em mudanças de Realm, Client ou Federation, definir estratégia de versionamento e rollout gradual. Realiza com segurança todas as configurações e integrações com APIs garantindo a funcionalidade híbrida de Identity e Keycloak, de analisar e mitigar riscos de segurança relacionados a tokens, de avaliar rotação de chaves e impacto de novos KIDs, de implementar validações robustas de claims. Consegue diagnosticar problemas complexos de autenticação distribuída, de analisar tokens JWT manualmente (claims, issuer, audience, kid) e resolver conflitos entre Identity e Keycloak no ambiente híbrido. Atua em incidentes críticos de autenticação, apoia o time Labs em definições técnicas e é capaz de direcionar para o melhor uso do keycloak na nossa aplicação. Treinar e desenvolver outros profissionais na integração com Keycloak, atua como referência técnica em decisões arquiteturais de segurança e garante que o modelo de autenticação seja escalável, seguro, governável e alinhado às melhores práticas corporativas.
</t>
    </r>
    <r>
      <rPr>
        <b/>
        <sz val="11"/>
        <color theme="1"/>
        <rFont val="Calibri"/>
        <family val="2"/>
        <scheme val="minor"/>
      </rPr>
      <t xml:space="preserve">"Q.A.: </t>
    </r>
    <r>
      <rPr>
        <sz val="11"/>
        <color theme="1"/>
        <rFont val="Calibri"/>
        <family val="2"/>
        <scheme val="minor"/>
      </rPr>
      <t>Possui conhecimento avançado da arquitetura de autenticação baseada em Keycloak e sua convivência com Identity no modelo MultiAuthority.
É capaz de:
- Definir estratégia de testes para migração de Identity → Keycloak.
- Analisar manualmente tokens JWT
- Atuar em incidentes críticos de autenticação.
- Apoiar definição de critérios de aceite de segurança.
- Propor automação de testes de autenticação."</t>
    </r>
  </si>
  <si>
    <t>Foi treinado ou estudou a documentação oficial da API Cadastro e compreende sua visão de produto como solução de cadastro e ativação automatizada de empresas, incluindo também cadastro e configuração de documentos fiscais. Compreende a arquitetura geral da API e sua jornada de utilização, a obrigatoriedade de que todas as chamadas partam de um Parceiro, utilizando client e secret válidos para obtenção do IdContrato. A sequência lógica das chamadas (Autenticação, Licenças, Integrações, Cadastro de Empresa, Documentos fiscais etc.), a utilização do repositório ndd-configuracao e o uso do Template API. Possui entendimento conceitual dos endpoints (CTe, MDFe, NFe, NFSe, e-mails, integrações, campos específicos), mas ainda não executa implementações ou manutenções diretamente.</t>
  </si>
  <si>
    <t>Possui conhecimento prático da API Cadastro, realizando implementações e manutenções com autonomia moderada. É capaz de configurar e testar autenticação via Bearer Token entendendo a obrigatoriedade de que todas as chamadas partam de um Parceiro, utilizando client e secret válidos para obtenção do IdContrato. Executar a jornada completa de ativação de empresa via API. Implementa e valida chamadas garantindo retorno adequado no formato esperado. Capaz de criar e/ou manter endpoints seguindo o padrão do repositório ndd-configuracao. Compreende o cadastro e validações de documentos fiscais (CTe, MDFe, NFe, NFSe – emissão e recebimento). Consegue identificar e corrigir erros comuns de autenticação, integração ou inconsistência de dados e é capaz de validar corretamente vínculo com Parceiro e captura de IdContrato. Atua na sustentação da API, realizando manutenção de nível básico a intermediário, seguindo padrões estabelecidos e boas práticas da equipe.</t>
  </si>
  <si>
    <t>Possui conhecimento avançado e visão sistêmica da API Cadastro, atuando como referência técnica na solução. É capaz de definir e evoluir padrões arquiteturais da API. Projetar melhorias estruturais visando escalabilidade, segurança e performance. Atuar em decisões técnicas sobre autenticação, versionamento e integração entre APIs. Otimizar consultas com dapper e estrutura de dados na base Central_frontConfig. Analisar impactos de mudanças na jornada de ativação de empresas. Atuar preventivamente em segurança (tokens, autorização, validação de dados). onhecimento para análise de incidentes críticos. Apoiar integrações complexas com parceiros e novos fluxos de ativação. Treinar e desenvolver outros profissionais na utilização e evolução da API. Atua estrategicamente na evolução da API Cadastro, garantindo robustez, governança técnica, alinhamento arquitetural e sustentabilidade da solução no longo prazo. Capaz de planejar e criar novos cadastros para documentos que ainda não fazem parte da API Cadastro.</t>
  </si>
  <si>
    <r>
      <rPr>
        <b/>
        <sz val="11"/>
        <color theme="1"/>
        <rFont val="Calibri"/>
        <family val="2"/>
        <scheme val="minor"/>
      </rPr>
      <t xml:space="preserve">Backend: </t>
    </r>
    <r>
      <rPr>
        <sz val="11"/>
        <color theme="1"/>
        <rFont val="Calibri"/>
        <family val="2"/>
        <scheme val="minor"/>
      </rPr>
      <t xml:space="preserve">Compreende o fluxo macro de entrada de documentos e suas diversas origens (EDI, OCR, EmailEntry e DFe). Identifica o papel de cada ator no ciclo de vida de uma nota fiscal (Emitente, Destinatário, Transportador) e possui autonomia para localizar documentos diretamente no banco de dados. É capaz de realizar buscas manuais de documentos e executar o envio ou reenvio para processamento, garantindo que a entrada de dados no ecossistema fiscal ocorra conforme os procedimentos operacionais padrão.
</t>
    </r>
    <r>
      <rPr>
        <b/>
        <sz val="11"/>
        <color theme="1"/>
        <rFont val="Calibri"/>
        <family val="2"/>
        <scheme val="minor"/>
      </rPr>
      <t xml:space="preserve">Q.A.: </t>
    </r>
    <r>
      <rPr>
        <sz val="11"/>
        <color theme="1"/>
        <rFont val="Calibri"/>
        <family val="2"/>
        <scheme val="minor"/>
      </rPr>
      <t>Conhecer a funcionalidade de Recepção de Documentos, incluindo os módulos EDI, OCR, EmailEntry e DFe.
Compreender o fluxo básico de funcionamento de cada um desses módulos.
Identificar os principais atores envolvidos no processo de recepção de documentos.</t>
    </r>
  </si>
  <si>
    <r>
      <rPr>
        <b/>
        <sz val="11"/>
        <color theme="1"/>
        <rFont val="Calibri"/>
        <family val="2"/>
        <scheme val="minor"/>
      </rPr>
      <t xml:space="preserve">Backend: </t>
    </r>
    <r>
      <rPr>
        <sz val="11"/>
        <color theme="1"/>
        <rFont val="Calibri"/>
        <family val="2"/>
        <scheme val="minor"/>
      </rPr>
      <t xml:space="preserve">Domina a lógica de recepção automática e os mecanismos de captura de documentos, sendo capaz de realizar manutenções corretivas e ajustes nos serviços de importação. Compreende profundamente os vínculos dos documentos (como associações entre CT-e e NF-e) e as regras de negócio aplicadas na triagem inicial. Atua na resolução de problemas de integração entre os canais de entrada e o motor fiscal, garantindo a integridade dos metadados extraídos via OCR ou processados via EDI.
</t>
    </r>
    <r>
      <rPr>
        <b/>
        <sz val="11"/>
        <color theme="1"/>
        <rFont val="Calibri"/>
        <family val="2"/>
        <scheme val="minor"/>
      </rPr>
      <t>Q.A.:</t>
    </r>
    <r>
      <rPr>
        <sz val="11"/>
        <color theme="1"/>
        <rFont val="Calibri"/>
        <family val="2"/>
        <scheme val="minor"/>
      </rPr>
      <t xml:space="preserve"> Executar e analisar fluxos básicos de recepção de documentos.
Configurar e realizar a recepção de documentos por meio de EDI, OCR, EmailEntry e DFe.
Realizar a recepção de documentos para diferentes atores do processo.</t>
    </r>
  </si>
  <si>
    <r>
      <rPr>
        <b/>
        <sz val="11"/>
        <color theme="1"/>
        <rFont val="Calibri"/>
        <family val="2"/>
        <scheme val="minor"/>
      </rPr>
      <t>Backend:</t>
    </r>
    <r>
      <rPr>
        <sz val="11"/>
        <color theme="1"/>
        <rFont val="Calibri"/>
        <family val="2"/>
        <scheme val="minor"/>
      </rPr>
      <t xml:space="preserve"> É a autoridade técnica na arquitetura de recepção de documentos, possuindo visão estratégica para otimizar o desempenho do processamento de altos volumes de dados. Atua na definição de padrões de captura e reconhecimento, propondo melhorias na acurácia do OCR e na resiliência dos fluxos de EmailEntry e DFe. É capaz de orientar o time sobre a complexidade das regras fiscais de recepção, gerenciar exceções críticas de importação e liderar a evolução tecnológica dos componentes para garantir que a entrada de dados seja escalável e à prova de falhas.
</t>
    </r>
    <r>
      <rPr>
        <b/>
        <sz val="11"/>
        <color theme="1"/>
        <rFont val="Calibri"/>
        <family val="2"/>
        <scheme val="minor"/>
      </rPr>
      <t>Q.A.:</t>
    </r>
    <r>
      <rPr>
        <sz val="11"/>
        <color theme="1"/>
        <rFont val="Calibri"/>
        <family val="2"/>
        <scheme val="minor"/>
      </rPr>
      <t xml:space="preserve"> Apoiar e ensinar os fluxos de recepção de documentos para outros colaboradores.
Executar processos de consulta via eForms (DFe).
Compreender as regras de OCR e analisar documentos no MIDAS.
Entender o processo completo de EDI e ser capaz de executá-lo de ponta a ponta.</t>
    </r>
  </si>
  <si>
    <t>Foi treinado ou estudou a funcionalidade de Herança de Configurações no portal e compreende seu objetivo de promover padronização e uniformidade entre Grupo, Matriz e Filial. Conhece os conceitos gerais, a herança de Grupo e Matriz, o processo de Customização individual quando herança estiver desmarcada, como funciona a Replicação automática e onde ocorre o processamento, também possui entendimento conceitual do fluxo, mas ainda não atua diretamente na implementação ou manutenção.</t>
  </si>
  <si>
    <t>Possui domínio prático da jornada de herança dentro do portal, seja para grupo empresa ou matriz, atuando tanto na camada funcional quanto técnica (backend e mensageria), garantindo a implementação conforme o desenho arquitetural e se sente confortável para participar de desições de arquitetura e performance. Atua na sustentação da funcionalidade, resolvendo problemas de nível básico a intermediário.</t>
  </si>
  <si>
    <t>Possui visão sistêmica da arquitetura de herança, incluindo portal, banco, mensageria, cache e impactos organizacionais. É referência técnica na evolução e governança da funcionalidade. Possui capacidade para auxiliar na arquitetura e performance, de definir com o time de arquitetura a estratégia de herança escalável para grandes volumes de empresas. Compreende o impacto da replicação em massa, atualizações simultâneas e garante que as replicações sejam realizadas corretamente. Avalia os riscos e conflitos, definindo estratégias seguras de rooback. Atua como referência técnica para squads e arquitetura, garante que a funcionalidade de herança seja escalável, segura e auditável.</t>
  </si>
  <si>
    <r>
      <rPr>
        <b/>
        <sz val="11"/>
        <color theme="1"/>
        <rFont val="Calibri"/>
        <family val="2"/>
        <scheme val="minor"/>
      </rPr>
      <t>Backend:</t>
    </r>
    <r>
      <rPr>
        <sz val="11"/>
        <color theme="1"/>
        <rFont val="Calibri"/>
        <family val="2"/>
        <scheme val="minor"/>
      </rPr>
      <t xml:space="preserve"> Conhece o conceito básico do fluxo de cofaturamento entre filiadas e matriz
</t>
    </r>
    <r>
      <rPr>
        <b/>
        <sz val="11"/>
        <color theme="1"/>
        <rFont val="Calibri"/>
        <family val="2"/>
        <scheme val="minor"/>
      </rPr>
      <t xml:space="preserve">Q.A.: </t>
    </r>
    <r>
      <rPr>
        <sz val="11"/>
        <color theme="1"/>
        <rFont val="Calibri"/>
        <family val="2"/>
        <scheme val="minor"/>
      </rPr>
      <t>Compreende e entende o conceito básico do fluxo de cofaturamento, filiadas e matriz, a existencia de que notas são comportadas no fluxo "Substituição, autorização e Cancelamento".</t>
    </r>
  </si>
  <si>
    <r>
      <rPr>
        <b/>
        <sz val="11"/>
        <color theme="1"/>
        <rFont val="Calibri"/>
        <family val="2"/>
        <scheme val="minor"/>
      </rPr>
      <t xml:space="preserve">Backend: </t>
    </r>
    <r>
      <rPr>
        <sz val="11"/>
        <color theme="1"/>
        <rFont val="Calibri"/>
        <family val="2"/>
        <scheme val="minor"/>
      </rPr>
      <t xml:space="preserve">Consegue dar manutenção no fluxo de cofaturamento sendo apoiado por outro desenvolvedor mais experiente
</t>
    </r>
    <r>
      <rPr>
        <b/>
        <sz val="11"/>
        <color theme="1"/>
        <rFont val="Calibri"/>
        <family val="2"/>
        <scheme val="minor"/>
      </rPr>
      <t xml:space="preserve">Q.A.: </t>
    </r>
    <r>
      <rPr>
        <sz val="11"/>
        <color theme="1"/>
        <rFont val="Calibri"/>
        <family val="2"/>
        <scheme val="minor"/>
      </rPr>
      <t>Consegue executar um fluxo de teste/desenvolvimento, compreendendo o fluxo do cofaturamento analisando resposta do que foi processado, entende os fluxos de montagem de notas filiadas através de CNPJLD, CPROD e outras necessidades do para a execução do cofaturamento e como configurar o que é necessário para a execução do teste.</t>
    </r>
  </si>
  <si>
    <r>
      <rPr>
        <b/>
        <sz val="11"/>
        <color theme="1"/>
        <rFont val="Calibri"/>
        <family val="2"/>
        <scheme val="minor"/>
      </rPr>
      <t>Backend:</t>
    </r>
    <r>
      <rPr>
        <sz val="11"/>
        <color theme="1"/>
        <rFont val="Calibri"/>
        <family val="2"/>
        <scheme val="minor"/>
      </rPr>
      <t xml:space="preserve"> Domina os fluxos de cofaturamento nos módulos de NFCom podendo auxilia os times de arquitetura e produtos em novas implementações
</t>
    </r>
    <r>
      <rPr>
        <b/>
        <sz val="11"/>
        <color theme="1"/>
        <rFont val="Calibri"/>
        <family val="2"/>
        <scheme val="minor"/>
      </rPr>
      <t xml:space="preserve">Q.A.: </t>
    </r>
    <r>
      <rPr>
        <sz val="11"/>
        <color theme="1"/>
        <rFont val="Calibri"/>
        <family val="2"/>
        <scheme val="minor"/>
      </rPr>
      <t>Conhecimento e dominio completo do fluxo de cofaturamento, entendendo todos os impactos sendo capaz de instruir outras pessoas do time ao correto entendimento do funcionamento do módulo, podendo atuar na definições e alteração de regras de negócio.</t>
    </r>
  </si>
  <si>
    <t>Analisa portas em uso e consegue identificar se o problema está no servidor, na rede ou na aplicação (DEV). Entende conceitos básicos de WAF e CSP, sabendo qual seu papel e onde são configurados. Consegue validar bloqueios simples de firewall e conectividade. Atua de forma crítica ao conversar com áreas de apoio, como Infraestrutura, conseguindo direcionar problemas e alinhar possíveis soluções com base em evidências técnicas.</t>
  </si>
  <si>
    <t>Entende configurações mais avançadas de rede relacionadas a IIS e publicação de aplicações. Compreende a estrutura de rede entre ambientes locais e nuvem, incluindo camadas, fluxos de comunicação e autenticações necessárias. Domina conceitos e configurações de WAF e CSP, aplicando boas práticas de segurança e avaliando impactos de módulos locais ou externos, suas necessidades e possíveis vulnerabilidades. Participa ativamente na definição de caminhos técnicos junto a DevOps e Arquitetura. Assume discussões mais complexas com times de apoio (Infra), conduzindo análises e propondo soluções consistentes.</t>
  </si>
  <si>
    <t>Domina padrões de mercado relacionados a rede e segurança para publicação de aplicações. Analisa criticamente a forma como os produtos estão configurados e publicados, propondo projetos estruturados de melhoria em arquitetura, segurança e exposição de serviços. Atua como referência técnica no assunto para o time de Testes, capacitando profissionais e elevando o nível técnico da equipe em temas de rede e segurança aplicada.</t>
  </si>
  <si>
    <t>Foi treinado nos conceitos básicos de segurança de aplicação e conhece as ferramentas utilizadas no ecossistema, como Sonar, Dojo, Dependency Track, Dependency Check e NDE. Entende onde essas ferramentas são configuradas, qual o papel de cada uma no processo de segurança e quem são os responsáveis por cada frente. Consegue acompanhar relatórios e identificar pontos gerais de atenção, mesmo que ainda sem domínio técnico aprofundado. Sabe articular conversas com os times responsáveis, envolver os donos corretos e contribuir para que os objetivos estratégicos de segurança sejam atendidos. Atua seguindo processos estabelecidos e compreendendo a importância da segurança no ciclo de desenvolvimento.</t>
  </si>
  <si>
    <t>Aplica as ferramentas de segurança com autonomia e domínio técnico, configurando corretamente builds, pipelines e integrações. Interpreta relatórios de vulnerabilidade, qualidade de código e dependências, apoiando ativamente o time de desenvolvimento na correção e priorização de riscos. Participa de discussões técnicas de segurança com protagonismo, sustentando argumentos técnicos e propondo melhorias. Cria automações de segurança, integrações entre ferramentas e relatórios executivos que ampliam a visibilidade dos riscos. Atua de forma preventiva, promovendo boas práticas de secure coding, gestão de vulnerabilidades e governança de dependências, garantindo aderência às diretrizes organizacionais.</t>
  </si>
  <si>
    <t>Atua como referência e pilar estratégico de segurança, exercendo papel de Security Champion (stackholder ativo da segurança) na organização. Envolve-se em metas, discussões de alto nível e definições estruturais relacionadas à governança, maturidade e evolução da segurança. Participa da tomada de decisão sobre ferramentas, processos e arquitetura de segurança, garantindo alinhamento com práticas de mercado como DevSecOps e Shift Left Security. É fomentador do tema dentro da organização, promovendo cultura de segurança, capacitação contínua e integração entre times. Atua como elo entre estratégia e execução, apoiando áreas técnicas e liderança na construção de um ecossistema seguro, sustentável e escalável.</t>
  </si>
  <si>
    <t>Anlisa PRs senguindo boas práticas acordadas pelo time de arquitetura na vertical</t>
  </si>
  <si>
    <t>Analisa PRs seguindo o desenho de solução feito pelo time de arquitetura, podendo sugerir melhorias de performance e qualidade de código dos PRs</t>
  </si>
  <si>
    <t>Revisa código com visão sistêmica, avaliando a profundidade técnica e responsabilidade sobre o impacto no produto e na empresa. Ele não se limita a verificar se a funcionalidade “funciona”, mas avalia se a solução é sustentável, coerente com a arquitetura, alinhada às regras de negócio e segura para produção.</t>
  </si>
  <si>
    <t>Foi treinado na topologia do sistema e entende, na prática, como ocorre a comunicação entre os módulos, incluindo banco de dados, mensageria (RabbitMQ), chamadas REST e integrações internas. Compreende como os módulos são divididos por criticidade, identificando módulos críticos e secundários, bem como suas dependências. Consegue aplicar corretamente essas dependências em ambientes já estruturados e analisar de forma crítica anomalias básicas na topologia, como módulos duplicados sem necessidade, configurações excessivas ou inconsistências evidentes. Atua seguindo o desenho arquitetural já definido, compreendendo o fluxo sistêmico da aplicação.</t>
  </si>
  <si>
    <t>Domina os parâmetros técnicos que envolvem topologia, rede, filas (RabbitMQ), banco de dados e integrações entre módulos. Identifica gargalos de performance e pontos críticos de comunicação, atuando diretamente na otimização de filas, conexões, tempo de resposta e consumo de recursos. Apoia de forma crítica o time de SRE em incidentes relacionados a lentidão, erros de comunicação, falhas de integração e configurações inadequadas. Atua com visão analítica sobre impacto sistêmico, propondo melhorias estruturais na topologia e prevenindo problemas recorrentes. Treina e capacita outras pessoas com segurança técnica, assumindo responsabilidade prática sobre a topologia e seu correto funcionamento.</t>
  </si>
  <si>
    <t>Possui domínio técnico suficiente para identificar riscos ocultos, problemas de performance, falhas de modelagem, violações de padrões e potenciais regressões. Consegue antecipar cenários de erro, questionar decisões arquiteturais e sugerir melhorias estruturais, não apenas ajustes pontuais. Além disso, atua como guardião da qualidade e da cultura técnica do time. Seus feedbacks são claros, objetivos e didáticos, diferenciando criticidade de sugestão. Ele contribui para evolução coletiva, fortalece padrões acordados e eleva o nível das entregas a cada revisão.</t>
  </si>
  <si>
    <t>O desenvolvedor nível Bronze possui entendimento funcional da tela e dos principais fluxos do host volumetria, conseguindo identificar onde cada parte é executada no código e suas responsabilidades básicas. Aplica regras de negócio já definidas quando especificadas e realiza correções pontuais de bugs com apoio técnico. Consegue realizar debug em cenários conhecidos, mas necessita suporte para análises mais complexas ou investigações aprofundadas. Ainda depende de acompanhamento técnico em demandas de maior complexidade, atuando sob direcionamento e contribuindo conforme escopo previamente delimitado.</t>
  </si>
  <si>
    <t>O desenvolvedor nível Prata compreende o fluxo do host ponta a ponta, as tabelas envolvidas para gestão da volumetria, suas validações, as dependências entre módulos e regras de negócio mais complexas. Atua de forma autônoma na correção de bugs, conduz análises de causa raiz e implementa funcionalidades completas avaliando impactos no fluxo como um todo. Entende claramente responsabilidades, contratos e dependências entre módulos, diagnostica problemas técnicos de forma independente, inclusive em cenários de inconsistência de dados e recálculo de volumetria. Possui autonomia técnica para sustentar o módulo, colabora ativamente com o time e propõe melhorias incrementais visando qualidade e manutenção do fluxo.</t>
  </si>
  <si>
    <t>O desenvolvedor nível Ouro possui visão sistêmica e aprofundada de todo o fluxo de volumetria, apresentação, cálculo e estrutura de banco, abrangendo arquitetura, regras críticas, performance, escalabilidade e riscos operacionais. Domina as interações entre módulos e antecipa impactos técnicos antes da implementação de mudanças. Atua em incidentes críticos e problemas complexos, inclusive estruturais, conduz análises avançadas de diagnóstico e define abordagens técnicas para novas implementações. Participa da definição e evolução de regras junto ao negócio, revisa e estabelece padrões técnicos e define estratégias de qualidade e testes em servidor. É referência técnica do módulo, apoia o desenvolvimento de outros profissionais, conduz decisões técnicas relevantes e propõe melhorias estruturais que aumentem robustez, manutenibilidade e eficiência do fluxo.</t>
  </si>
  <si>
    <t>Cargo</t>
  </si>
  <si>
    <t>Total</t>
  </si>
  <si>
    <t>Meta</t>
  </si>
  <si>
    <t>Alvadi</t>
  </si>
  <si>
    <t>Atual</t>
  </si>
  <si>
    <t>Mínimo</t>
  </si>
  <si>
    <t>Atinge</t>
  </si>
  <si>
    <t>Supera</t>
  </si>
  <si>
    <t>Time</t>
  </si>
  <si>
    <t>Maker</t>
  </si>
  <si>
    <t>Enquadramento</t>
  </si>
  <si>
    <t>Total Gaps</t>
  </si>
  <si>
    <t>Gaps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</si>
</sst>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24"/>
      <color theme="1"/>
      <name val="Calibri"/>
      <family val="2"/>
      <scheme val="minor"/>
    </font>
    <font>
      <b/>
      <sz val="18"/>
      <color theme="1"/>
      <name val="Calibri"/>
      <family val="2"/>
      <scheme val="minor"/>
    </font>
    <font>
      <b/>
      <sz val="11"/>
      <color rgb="FF000000"/>
      <name val="Calibri"/>
      <scheme val="minor"/>
    </font>
    <font>
      <sz val="11"/>
      <color rgb="FF000000"/>
      <name val="Calibri"/>
      <scheme val="minor"/>
    </font>
    <font>
      <sz val="11"/>
      <color rgb="FF000000"/>
      <name val="Calibri"/>
      <family val="2"/>
      <scheme val="minor"/>
    </font>
    <font>
      <sz val="14"/>
      <color theme="1"/>
      <name val="Calibri"/>
      <family val="2"/>
      <scheme val="minor"/>
    </font>
    <font>
      <b/>
      <sz val="12"/>
      <color theme="1"/>
      <name val="Calibri"/>
      <family val="2"/>
      <scheme val="minor"/>
    </font>
    <font>
      <sz val="20"/>
      <color theme="1"/>
      <name val="Calibri"/>
      <family val="2"/>
      <scheme val="minor"/>
    </font>
    <font>
      <b/>
      <sz val="20"/>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73">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left>
      <right/>
      <top style="medium">
        <color indexed="64"/>
      </top>
      <bottom/>
      <diagonal/>
    </border>
    <border>
      <left/>
      <right style="thin">
        <color theme="4"/>
      </right>
      <top style="medium">
        <color indexed="64"/>
      </top>
      <bottom/>
      <diagonal/>
    </border>
    <border>
      <left style="thin">
        <color theme="4" tint="0.39997558519241921"/>
      </left>
      <right/>
      <top style="thin">
        <color theme="4" tint="0.39997558519241921"/>
      </top>
      <bottom style="thin">
        <color theme="4" tint="0.39997558519241921"/>
      </bottom>
      <diagonal/>
    </border>
    <border>
      <left style="medium">
        <color indexed="64"/>
      </left>
      <right style="thin">
        <color theme="4" tint="0.39997558519241921"/>
      </right>
      <top style="thin">
        <color theme="4" tint="0.39997558519241921"/>
      </top>
      <bottom style="thin">
        <color theme="4" tint="0.39997558519241921"/>
      </bottom>
      <diagonal/>
    </border>
    <border>
      <left style="thin">
        <color theme="4" tint="0.39997558519241921"/>
      </left>
      <right style="medium">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left>
      <right style="thin">
        <color theme="4"/>
      </right>
      <top style="thin">
        <color theme="4"/>
      </top>
      <bottom style="thin">
        <color theme="4"/>
      </bottom>
      <diagonal/>
    </border>
    <border>
      <left/>
      <right style="medium">
        <color indexed="64"/>
      </right>
      <top/>
      <bottom/>
      <diagonal/>
    </border>
    <border>
      <left style="thin">
        <color theme="4" tint="0.39997558519241921"/>
      </left>
      <right style="medium">
        <color indexed="64"/>
      </right>
      <top/>
      <bottom style="thin">
        <color theme="4" tint="0.39997558519241921"/>
      </bottom>
      <diagonal/>
    </border>
    <border>
      <left style="thin">
        <color theme="4" tint="0.39997558519241921"/>
      </left>
      <right style="thin">
        <color theme="4" tint="0.39997558519241921"/>
      </right>
      <top/>
      <bottom style="thin">
        <color theme="4" tint="0.39997558519241921"/>
      </bottom>
      <diagonal/>
    </border>
    <border>
      <left style="medium">
        <color indexed="64"/>
      </left>
      <right style="thin">
        <color theme="4" tint="0.39997558519241921"/>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thin">
        <color theme="4"/>
      </right>
      <top style="thin">
        <color theme="4"/>
      </top>
      <bottom style="thin">
        <color theme="4"/>
      </bottom>
      <diagonal/>
    </border>
    <border>
      <left style="medium">
        <color indexed="64"/>
      </left>
      <right style="thin">
        <color theme="4"/>
      </right>
      <top style="thin">
        <color theme="4"/>
      </top>
      <bottom style="medium">
        <color indexed="64"/>
      </bottom>
      <diagonal/>
    </border>
    <border>
      <left style="thin">
        <color theme="4"/>
      </left>
      <right style="thin">
        <color theme="4"/>
      </right>
      <top style="thin">
        <color theme="4"/>
      </top>
      <bottom style="medium">
        <color indexed="64"/>
      </bottom>
      <diagonal/>
    </border>
    <border>
      <left style="thin">
        <color theme="4"/>
      </left>
      <right style="thin">
        <color theme="4"/>
      </right>
      <top/>
      <bottom/>
      <diagonal/>
    </border>
    <border>
      <left style="thin">
        <color theme="4"/>
      </left>
      <right style="thin">
        <color theme="4"/>
      </right>
      <top/>
      <bottom style="medium">
        <color theme="4"/>
      </bottom>
      <diagonal/>
    </border>
    <border>
      <left style="thin">
        <color theme="4" tint="0.39997558519241921"/>
      </left>
      <right/>
      <top/>
      <bottom/>
      <diagonal/>
    </border>
    <border>
      <left style="medium">
        <color rgb="FF000000"/>
      </left>
      <right style="thin">
        <color theme="4"/>
      </right>
      <top style="medium">
        <color rgb="FF000000"/>
      </top>
      <bottom/>
      <diagonal/>
    </border>
    <border>
      <left style="thin">
        <color theme="4"/>
      </left>
      <right style="thin">
        <color theme="4"/>
      </right>
      <top style="medium">
        <color rgb="FF000000"/>
      </top>
      <bottom/>
      <diagonal/>
    </border>
    <border>
      <left style="medium">
        <color indexed="64"/>
      </left>
      <right/>
      <top style="medium">
        <color rgb="FF000000"/>
      </top>
      <bottom/>
      <diagonal/>
    </border>
    <border>
      <left/>
      <right style="thin">
        <color theme="4"/>
      </right>
      <top style="medium">
        <color rgb="FF000000"/>
      </top>
      <bottom/>
      <diagonal/>
    </border>
    <border>
      <left style="thin">
        <color theme="4"/>
      </left>
      <right/>
      <top style="medium">
        <color rgb="FF000000"/>
      </top>
      <bottom/>
      <diagonal/>
    </border>
    <border>
      <left/>
      <right style="medium">
        <color indexed="64"/>
      </right>
      <top style="medium">
        <color rgb="FF000000"/>
      </top>
      <bottom/>
      <diagonal/>
    </border>
    <border>
      <left/>
      <right style="medium">
        <color rgb="FF000000"/>
      </right>
      <top style="medium">
        <color rgb="FF000000"/>
      </top>
      <bottom/>
      <diagonal/>
    </border>
    <border>
      <left style="medium">
        <color rgb="FF000000"/>
      </left>
      <right style="thin">
        <color theme="4"/>
      </right>
      <top/>
      <bottom/>
      <diagonal/>
    </border>
    <border>
      <left/>
      <right style="medium">
        <color rgb="FF000000"/>
      </right>
      <top/>
      <bottom/>
      <diagonal/>
    </border>
    <border>
      <left style="medium">
        <color rgb="FF000000"/>
      </left>
      <right style="thin">
        <color theme="4"/>
      </right>
      <top/>
      <bottom style="medium">
        <color theme="4"/>
      </bottom>
      <diagonal/>
    </border>
    <border>
      <left/>
      <right style="medium">
        <color rgb="FF000000"/>
      </right>
      <top/>
      <bottom style="medium">
        <color indexed="64"/>
      </bottom>
      <diagonal/>
    </border>
    <border>
      <left style="medium">
        <color rgb="FF000000"/>
      </left>
      <right style="thin">
        <color theme="4"/>
      </right>
      <top style="thin">
        <color theme="4"/>
      </top>
      <bottom style="thin">
        <color theme="4"/>
      </bottom>
      <diagonal/>
    </border>
    <border>
      <left style="thin">
        <color theme="4" tint="0.39997558519241921"/>
      </left>
      <right style="medium">
        <color rgb="FF000000"/>
      </right>
      <top style="thin">
        <color theme="4" tint="0.39997558519241921"/>
      </top>
      <bottom style="thin">
        <color theme="4" tint="0.39997558519241921"/>
      </bottom>
      <diagonal/>
    </border>
    <border>
      <left style="medium">
        <color rgb="FF000000"/>
      </left>
      <right style="thin">
        <color theme="4"/>
      </right>
      <top style="thin">
        <color theme="4"/>
      </top>
      <bottom style="medium">
        <color rgb="FF000000"/>
      </bottom>
      <diagonal/>
    </border>
    <border>
      <left style="thin">
        <color theme="4"/>
      </left>
      <right style="thin">
        <color theme="4"/>
      </right>
      <top style="thin">
        <color theme="4"/>
      </top>
      <bottom style="medium">
        <color rgb="FF000000"/>
      </bottom>
      <diagonal/>
    </border>
    <border>
      <left style="medium">
        <color indexed="64"/>
      </left>
      <right style="thin">
        <color theme="4" tint="0.39997558519241921"/>
      </right>
      <top style="thin">
        <color theme="4" tint="0.39997558519241921"/>
      </top>
      <bottom style="medium">
        <color rgb="FF000000"/>
      </bottom>
      <diagonal/>
    </border>
    <border>
      <left style="thin">
        <color theme="4" tint="0.39997558519241921"/>
      </left>
      <right style="thin">
        <color theme="4" tint="0.39997558519241921"/>
      </right>
      <top style="thin">
        <color theme="4" tint="0.39997558519241921"/>
      </top>
      <bottom style="medium">
        <color rgb="FF000000"/>
      </bottom>
      <diagonal/>
    </border>
    <border>
      <left style="thin">
        <color theme="4" tint="0.39997558519241921"/>
      </left>
      <right style="medium">
        <color indexed="64"/>
      </right>
      <top style="thin">
        <color theme="4" tint="0.39997558519241921"/>
      </top>
      <bottom style="medium">
        <color rgb="FF000000"/>
      </bottom>
      <diagonal/>
    </border>
    <border>
      <left style="thin">
        <color theme="4" tint="0.39997558519241921"/>
      </left>
      <right style="medium">
        <color rgb="FF000000"/>
      </right>
      <top style="thin">
        <color theme="4" tint="0.39997558519241921"/>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indexed="64"/>
      </bottom>
      <diagonal/>
    </border>
    <border>
      <left style="medium">
        <color rgb="FF000000"/>
      </left>
      <right style="thin">
        <color theme="4" tint="0.39997558519241921"/>
      </right>
      <top style="thin">
        <color theme="4" tint="0.39997558519241921"/>
      </top>
      <bottom style="thin">
        <color theme="4" tint="0.39997558519241921"/>
      </bottom>
      <diagonal/>
    </border>
    <border>
      <left style="medium">
        <color rgb="FF000000"/>
      </left>
      <right style="thin">
        <color theme="4" tint="0.39997558519241921"/>
      </right>
      <top style="thin">
        <color theme="4" tint="0.39997558519241921"/>
      </top>
      <bottom style="medium">
        <color rgb="FF000000"/>
      </bottom>
      <diagonal/>
    </border>
    <border>
      <left style="medium">
        <color indexed="64"/>
      </left>
      <right/>
      <top style="thin">
        <color theme="4" tint="0.39997558519241921"/>
      </top>
      <bottom style="thin">
        <color theme="4" tint="0.39997558519241921"/>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right style="thin">
        <color theme="4" tint="0.39997558519241921"/>
      </right>
      <top/>
      <bottom/>
      <diagonal/>
    </border>
    <border>
      <left style="medium">
        <color indexed="64"/>
      </left>
      <right style="thin">
        <color theme="4"/>
      </right>
      <top style="medium">
        <color indexed="64"/>
      </top>
      <bottom/>
      <diagonal/>
    </border>
    <border>
      <left style="thin">
        <color theme="4"/>
      </left>
      <right style="thin">
        <color theme="4"/>
      </right>
      <top style="medium">
        <color indexed="64"/>
      </top>
      <bottom/>
      <diagonal/>
    </border>
    <border>
      <left style="medium">
        <color indexed="64"/>
      </left>
      <right style="thin">
        <color theme="4"/>
      </right>
      <top/>
      <bottom/>
      <diagonal/>
    </border>
    <border>
      <left style="medium">
        <color indexed="64"/>
      </left>
      <right style="thin">
        <color theme="4" tint="0.39997558519241921"/>
      </right>
      <top style="thin">
        <color theme="4" tint="0.39997558519241921"/>
      </top>
      <bottom style="medium">
        <color indexed="64"/>
      </bottom>
      <diagonal/>
    </border>
    <border>
      <left style="thin">
        <color theme="4" tint="0.39997558519241921"/>
      </left>
      <right style="thin">
        <color theme="4" tint="0.39997558519241921"/>
      </right>
      <top style="thin">
        <color theme="4" tint="0.39997558519241921"/>
      </top>
      <bottom style="medium">
        <color indexed="64"/>
      </bottom>
      <diagonal/>
    </border>
    <border>
      <left style="thin">
        <color theme="4" tint="0.39997558519241921"/>
      </left>
      <right style="medium">
        <color indexed="64"/>
      </right>
      <top style="thin">
        <color theme="4" tint="0.39997558519241921"/>
      </top>
      <bottom style="medium">
        <color indexed="64"/>
      </bottom>
      <diagonal/>
    </border>
    <border>
      <left/>
      <right/>
      <top style="thin">
        <color theme="4" tint="0.39997558519241921"/>
      </top>
      <bottom style="medium">
        <color indexed="64"/>
      </bottom>
      <diagonal/>
    </border>
    <border>
      <left style="thin">
        <color theme="4"/>
      </left>
      <right style="medium">
        <color indexed="64"/>
      </right>
      <top style="medium">
        <color indexed="64"/>
      </top>
      <bottom/>
      <diagonal/>
    </border>
    <border>
      <left style="thin">
        <color theme="4"/>
      </left>
      <right style="medium">
        <color indexed="64"/>
      </right>
      <top/>
      <bottom/>
      <diagonal/>
    </border>
    <border>
      <left style="thin">
        <color theme="4"/>
      </left>
      <right style="medium">
        <color indexed="64"/>
      </right>
      <top style="thin">
        <color theme="4"/>
      </top>
      <bottom style="thin">
        <color theme="4"/>
      </bottom>
      <diagonal/>
    </border>
    <border>
      <left style="thin">
        <color theme="4"/>
      </left>
      <right style="medium">
        <color indexed="64"/>
      </right>
      <top style="thin">
        <color theme="4"/>
      </top>
      <bottom style="medium">
        <color indexed="64"/>
      </bottom>
      <diagonal/>
    </border>
    <border>
      <left style="medium">
        <color indexed="64"/>
      </left>
      <right style="thin">
        <color theme="4"/>
      </right>
      <top/>
      <bottom style="thin">
        <color theme="4"/>
      </bottom>
      <diagonal/>
    </border>
    <border>
      <left style="thin">
        <color theme="4"/>
      </left>
      <right style="thin">
        <color theme="4"/>
      </right>
      <top/>
      <bottom style="thin">
        <color theme="4"/>
      </bottom>
      <diagonal/>
    </border>
    <border>
      <left style="thin">
        <color theme="4"/>
      </left>
      <right style="medium">
        <color indexed="64"/>
      </right>
      <top/>
      <bottom style="thin">
        <color theme="4"/>
      </bottom>
      <diagonal/>
    </border>
    <border>
      <left style="medium">
        <color indexed="64"/>
      </left>
      <right style="thin">
        <color theme="4"/>
      </right>
      <top/>
      <bottom style="medium">
        <color indexed="64"/>
      </bottom>
      <diagonal/>
    </border>
    <border>
      <left style="thin">
        <color theme="4"/>
      </left>
      <right style="thin">
        <color theme="4"/>
      </right>
      <top/>
      <bottom style="medium">
        <color indexed="64"/>
      </bottom>
      <diagonal/>
    </border>
    <border>
      <left style="thin">
        <color theme="4"/>
      </left>
      <right style="medium">
        <color indexed="64"/>
      </right>
      <top/>
      <bottom style="medium">
        <color indexed="64"/>
      </bottom>
      <diagonal/>
    </border>
    <border>
      <left style="thin">
        <color theme="4"/>
      </left>
      <right style="thin">
        <color theme="4"/>
      </right>
      <top style="thin">
        <color theme="4"/>
      </top>
      <bottom style="medium">
        <color theme="4"/>
      </bottom>
      <diagonal/>
    </border>
  </borders>
  <cellStyleXfs count="1">
    <xf numFmtId="0" fontId="0" fillId="0" borderId="0"/>
  </cellStyleXfs>
  <cellXfs count="14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xf>
    <xf numFmtId="0" fontId="0" fillId="2" borderId="11" xfId="0" applyFill="1" applyBorder="1"/>
    <xf numFmtId="0" fontId="0" fillId="0" borderId="11" xfId="0" applyBorder="1"/>
    <xf numFmtId="0" fontId="0" fillId="2" borderId="11" xfId="0" applyFill="1"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1" fillId="0" borderId="0" xfId="0" applyFont="1" applyAlignment="1">
      <alignment horizontal="center" vertical="center" textRotation="90"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3" fillId="0" borderId="7" xfId="0" applyFont="1" applyBorder="1" applyAlignment="1">
      <alignment horizontal="left" vertical="center" wrapText="1"/>
    </xf>
    <xf numFmtId="0" fontId="3" fillId="2" borderId="7" xfId="0" applyFont="1" applyFill="1" applyBorder="1" applyAlignment="1">
      <alignment horizontal="left" vertical="center" wrapText="1"/>
    </xf>
    <xf numFmtId="0" fontId="0" fillId="2" borderId="11" xfId="0" applyFill="1" applyBorder="1" applyAlignment="1">
      <alignment horizontal="left" vertical="center" wrapText="1"/>
    </xf>
    <xf numFmtId="0" fontId="0" fillId="0" borderId="11" xfId="0" applyBorder="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7" fillId="0" borderId="11" xfId="0" applyFont="1" applyBorder="1" applyAlignment="1">
      <alignment horizontal="left" vertical="center" wrapText="1"/>
    </xf>
    <xf numFmtId="0" fontId="8" fillId="2" borderId="11" xfId="0" applyFont="1" applyFill="1" applyBorder="1" applyAlignment="1">
      <alignment horizontal="left" vertical="center" wrapText="1"/>
    </xf>
    <xf numFmtId="0" fontId="8" fillId="0" borderId="11" xfId="0" applyFont="1" applyBorder="1" applyAlignment="1">
      <alignment horizontal="left" vertical="center" wrapText="1"/>
    </xf>
    <xf numFmtId="0" fontId="7" fillId="2" borderId="11" xfId="0" applyFont="1" applyFill="1" applyBorder="1" applyAlignment="1">
      <alignment horizontal="left" vertical="center" wrapText="1"/>
    </xf>
    <xf numFmtId="0" fontId="1" fillId="0" borderId="4" xfId="0" applyFont="1" applyBorder="1" applyAlignment="1">
      <alignment horizontal="center" vertical="center"/>
    </xf>
    <xf numFmtId="0" fontId="0" fillId="2" borderId="37" xfId="0" applyFill="1" applyBorder="1"/>
    <xf numFmtId="0" fontId="0" fillId="0" borderId="38" xfId="0" applyBorder="1" applyAlignment="1">
      <alignment horizontal="center" vertical="center"/>
    </xf>
    <xf numFmtId="0" fontId="0" fillId="0" borderId="37" xfId="0" applyBorder="1"/>
    <xf numFmtId="0" fontId="0" fillId="0" borderId="39" xfId="0" applyBorder="1"/>
    <xf numFmtId="0" fontId="0" fillId="0" borderId="40" xfId="0" applyBorder="1"/>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2" borderId="11" xfId="0" applyFill="1" applyBorder="1" applyAlignment="1">
      <alignment horizontal="center" vertical="center" wrapText="1"/>
    </xf>
    <xf numFmtId="0" fontId="0" fillId="2" borderId="20" xfId="0" applyFill="1" applyBorder="1" applyAlignment="1">
      <alignment horizontal="center" vertical="center" wrapText="1"/>
    </xf>
    <xf numFmtId="0" fontId="0" fillId="0" borderId="20"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1" fillId="0" borderId="20" xfId="0" applyFont="1" applyBorder="1" applyAlignment="1">
      <alignment horizontal="center" vertical="center"/>
    </xf>
    <xf numFmtId="0" fontId="1" fillId="2" borderId="20" xfId="0" applyFont="1" applyFill="1" applyBorder="1" applyAlignment="1">
      <alignment horizontal="center" vertical="center" wrapText="1"/>
    </xf>
    <xf numFmtId="0" fontId="0" fillId="2" borderId="64" xfId="0" applyFill="1" applyBorder="1" applyAlignment="1">
      <alignment horizontal="center" vertical="center" wrapText="1"/>
    </xf>
    <xf numFmtId="0" fontId="0" fillId="0" borderId="64" xfId="0" applyBorder="1" applyAlignment="1">
      <alignment horizontal="center" vertical="center"/>
    </xf>
    <xf numFmtId="0" fontId="0" fillId="2" borderId="66" xfId="0" applyFill="1" applyBorder="1" applyAlignment="1">
      <alignment horizontal="center" vertical="center" wrapText="1"/>
    </xf>
    <xf numFmtId="0" fontId="0" fillId="2" borderId="67" xfId="0" applyFill="1" applyBorder="1" applyAlignment="1">
      <alignment horizontal="center" vertical="center" wrapText="1"/>
    </xf>
    <xf numFmtId="0" fontId="0" fillId="2" borderId="68" xfId="0" applyFill="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textRotation="90" wrapText="1"/>
    </xf>
    <xf numFmtId="0" fontId="9" fillId="0" borderId="0" xfId="0" applyFont="1" applyAlignment="1">
      <alignment horizontal="center" vertical="center" wrapText="1"/>
    </xf>
    <xf numFmtId="0" fontId="1" fillId="2" borderId="21" xfId="0" applyFont="1" applyFill="1" applyBorder="1" applyAlignment="1">
      <alignment horizontal="center" vertical="center" wrapText="1"/>
    </xf>
    <xf numFmtId="0" fontId="0" fillId="2" borderId="22" xfId="0" applyFill="1" applyBorder="1" applyAlignment="1">
      <alignment horizontal="center" vertical="center" wrapText="1"/>
    </xf>
    <xf numFmtId="0" fontId="0" fillId="2" borderId="65" xfId="0" applyFill="1" applyBorder="1"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 fillId="0" borderId="72" xfId="0" applyFont="1" applyBorder="1"/>
    <xf numFmtId="0" fontId="1" fillId="0" borderId="72" xfId="0" applyFont="1" applyBorder="1" applyAlignment="1">
      <alignment horizontal="center"/>
    </xf>
    <xf numFmtId="0" fontId="0" fillId="2" borderId="11" xfId="0" applyFill="1" applyBorder="1" applyAlignment="1">
      <alignment horizontal="center"/>
    </xf>
    <xf numFmtId="0" fontId="0" fillId="0" borderId="11" xfId="0" applyBorder="1" applyAlignment="1">
      <alignment horizontal="center"/>
    </xf>
    <xf numFmtId="10" fontId="0" fillId="0" borderId="11" xfId="0" applyNumberFormat="1" applyBorder="1" applyAlignment="1">
      <alignment horizontal="center"/>
    </xf>
    <xf numFmtId="0" fontId="1" fillId="0" borderId="0" xfId="0" applyFont="1" applyAlignment="1">
      <alignment horizontal="center"/>
    </xf>
    <xf numFmtId="10" fontId="0" fillId="2" borderId="11" xfId="0" applyNumberFormat="1" applyFill="1" applyBorder="1" applyAlignment="1">
      <alignment horizontal="center"/>
    </xf>
    <xf numFmtId="9" fontId="0" fillId="2" borderId="11" xfId="0" applyNumberFormat="1" applyFill="1" applyBorder="1" applyAlignment="1">
      <alignment horizontal="center"/>
    </xf>
    <xf numFmtId="9" fontId="0" fillId="0" borderId="11" xfId="0" applyNumberFormat="1" applyBorder="1" applyAlignment="1">
      <alignment horizontal="center"/>
    </xf>
    <xf numFmtId="0" fontId="13" fillId="0" borderId="0" xfId="0" applyFont="1" applyAlignment="1">
      <alignment horizontal="center" vertical="center"/>
    </xf>
    <xf numFmtId="0" fontId="5" fillId="0" borderId="0" xfId="0" applyFont="1" applyAlignment="1">
      <alignment horizontal="center" vertical="center"/>
    </xf>
    <xf numFmtId="0" fontId="1" fillId="0" borderId="54" xfId="0" applyFont="1" applyBorder="1" applyAlignment="1">
      <alignment horizontal="left" vertical="center"/>
    </xf>
    <xf numFmtId="0" fontId="1" fillId="0" borderId="25"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textRotation="90" wrapText="1"/>
    </xf>
    <xf numFmtId="0" fontId="1" fillId="0" borderId="17" xfId="0" applyFont="1" applyBorder="1" applyAlignment="1">
      <alignment horizontal="center" vertical="center" textRotation="90" wrapText="1"/>
    </xf>
    <xf numFmtId="0" fontId="1" fillId="0" borderId="34" xfId="0" applyFont="1" applyBorder="1" applyAlignment="1">
      <alignment horizontal="center" vertical="center" textRotation="90" wrapText="1"/>
    </xf>
    <xf numFmtId="0" fontId="1" fillId="0" borderId="36" xfId="0" applyFont="1" applyBorder="1" applyAlignment="1">
      <alignment horizontal="center" vertical="center" textRotation="90" wrapText="1"/>
    </xf>
    <xf numFmtId="0" fontId="0" fillId="0" borderId="0" xfId="0" applyAlignment="1">
      <alignment horizontal="left"/>
    </xf>
    <xf numFmtId="0" fontId="1" fillId="0" borderId="26" xfId="0" applyFont="1" applyBorder="1" applyAlignment="1">
      <alignment horizontal="center" vertical="center"/>
    </xf>
    <xf numFmtId="0" fontId="1" fillId="0" borderId="33" xfId="0" applyFont="1" applyBorder="1" applyAlignment="1">
      <alignment horizontal="center" vertical="center"/>
    </xf>
    <xf numFmtId="0" fontId="1" fillId="0" borderId="35" xfId="0" applyFont="1" applyBorder="1" applyAlignment="1">
      <alignment horizontal="center" vertical="center"/>
    </xf>
    <xf numFmtId="0" fontId="1" fillId="0" borderId="27"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45"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46" xfId="0" applyFont="1" applyBorder="1" applyAlignment="1">
      <alignment horizontal="center" vertical="center" textRotation="90" wrapText="1"/>
    </xf>
    <xf numFmtId="0" fontId="1" fillId="0" borderId="47" xfId="0" applyFont="1" applyBorder="1" applyAlignment="1">
      <alignment horizontal="center" vertical="center" textRotation="90" wrapText="1"/>
    </xf>
    <xf numFmtId="0" fontId="0" fillId="2" borderId="51" xfId="0" applyFill="1" applyBorder="1" applyAlignment="1">
      <alignment horizontal="center"/>
    </xf>
    <xf numFmtId="0" fontId="0" fillId="2" borderId="52" xfId="0" applyFill="1" applyBorder="1" applyAlignment="1">
      <alignment horizontal="center"/>
    </xf>
    <xf numFmtId="0" fontId="0" fillId="2" borderId="53" xfId="0" applyFill="1"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0" fillId="0" borderId="53" xfId="0" applyBorder="1" applyAlignment="1">
      <alignment horizontal="center"/>
    </xf>
    <xf numFmtId="0" fontId="1" fillId="0" borderId="28"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9" xfId="0" applyFont="1" applyBorder="1" applyAlignment="1">
      <alignment horizontal="center" vertical="center" textRotation="90" wrapText="1"/>
    </xf>
    <xf numFmtId="0" fontId="1" fillId="0" borderId="16" xfId="0" applyFont="1" applyBorder="1" applyAlignment="1">
      <alignment horizontal="center" vertical="center" textRotation="90" wrapText="1"/>
    </xf>
    <xf numFmtId="0" fontId="1" fillId="0" borderId="12" xfId="0" applyFont="1" applyBorder="1" applyAlignment="1">
      <alignment horizontal="center" vertical="center" textRotation="90" wrapText="1"/>
    </xf>
    <xf numFmtId="0" fontId="1" fillId="0" borderId="18" xfId="0" applyFont="1" applyBorder="1" applyAlignment="1">
      <alignment horizontal="center" vertical="center" textRotation="90" wrapText="1"/>
    </xf>
    <xf numFmtId="0" fontId="5" fillId="0" borderId="1" xfId="0" applyFont="1" applyBorder="1" applyAlignment="1">
      <alignment horizontal="center" vertical="center"/>
    </xf>
    <xf numFmtId="0" fontId="5" fillId="0" borderId="0" xfId="0" applyFont="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1" fillId="0" borderId="0" xfId="0" applyFont="1" applyAlignment="1">
      <alignment horizontal="center" vertical="center" wrapText="1"/>
    </xf>
    <xf numFmtId="0" fontId="2" fillId="0" borderId="12" xfId="0" applyFont="1" applyBorder="1" applyAlignment="1">
      <alignment horizontal="center" vertical="center" textRotation="90" wrapText="1"/>
    </xf>
    <xf numFmtId="0" fontId="2" fillId="0" borderId="18" xfId="0" applyFont="1" applyBorder="1" applyAlignment="1">
      <alignment horizontal="center" vertical="center" textRotation="90" wrapText="1"/>
    </xf>
    <xf numFmtId="0" fontId="2" fillId="0" borderId="19" xfId="0" applyFont="1" applyBorder="1" applyAlignment="1">
      <alignment horizontal="center" vertical="center" textRotation="90" wrapText="1"/>
    </xf>
    <xf numFmtId="0" fontId="2" fillId="0" borderId="16" xfId="0" applyFont="1" applyBorder="1" applyAlignment="1">
      <alignment horizontal="center" vertical="center" textRotation="90" wrapText="1"/>
    </xf>
    <xf numFmtId="0" fontId="2" fillId="0" borderId="0" xfId="0" applyFont="1" applyAlignment="1">
      <alignment horizontal="center" vertical="center" textRotation="90" wrapText="1"/>
    </xf>
    <xf numFmtId="0" fontId="2" fillId="0" borderId="17" xfId="0" applyFont="1" applyBorder="1" applyAlignment="1">
      <alignment horizontal="center" vertical="center" textRotation="90"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textRotation="90" wrapText="1"/>
    </xf>
    <xf numFmtId="0" fontId="3" fillId="0" borderId="17" xfId="0" applyFont="1" applyBorder="1" applyAlignment="1">
      <alignment horizontal="center" vertical="center" textRotation="90" wrapText="1"/>
    </xf>
    <xf numFmtId="0" fontId="3" fillId="0" borderId="3" xfId="0" applyFont="1" applyBorder="1" applyAlignment="1">
      <alignment horizontal="center" vertical="center" textRotation="90" wrapText="1"/>
    </xf>
    <xf numFmtId="0" fontId="3" fillId="0" borderId="12" xfId="0" applyFont="1" applyBorder="1" applyAlignment="1">
      <alignment horizontal="center" vertical="center" textRotation="90" wrapText="1"/>
    </xf>
    <xf numFmtId="0" fontId="3" fillId="0" borderId="18" xfId="0" applyFont="1" applyBorder="1" applyAlignment="1">
      <alignment horizontal="center" vertical="center" textRotation="90" wrapText="1"/>
    </xf>
    <xf numFmtId="0" fontId="1" fillId="0" borderId="62" xfId="0" applyFont="1" applyBorder="1" applyAlignment="1">
      <alignment horizontal="center" vertical="center"/>
    </xf>
    <xf numFmtId="0" fontId="1" fillId="0" borderId="63" xfId="0" applyFont="1" applyBorder="1" applyAlignment="1">
      <alignment horizontal="center" vertical="center"/>
    </xf>
    <xf numFmtId="0" fontId="1" fillId="0" borderId="71" xfId="0" applyFont="1" applyBorder="1" applyAlignment="1">
      <alignment horizontal="center" vertical="center"/>
    </xf>
    <xf numFmtId="0" fontId="1" fillId="0" borderId="56" xfId="0" applyFont="1" applyBorder="1" applyAlignment="1">
      <alignment horizontal="center" vertical="center"/>
    </xf>
    <xf numFmtId="0" fontId="1" fillId="0" borderId="70" xfId="0" applyFont="1" applyBorder="1" applyAlignment="1">
      <alignment horizontal="center" vertical="center"/>
    </xf>
    <xf numFmtId="0" fontId="1" fillId="0" borderId="55" xfId="0" applyFont="1" applyBorder="1" applyAlignment="1">
      <alignment horizontal="center" vertical="center"/>
    </xf>
    <xf numFmtId="0" fontId="1" fillId="0" borderId="57" xfId="0" applyFont="1" applyBorder="1" applyAlignment="1">
      <alignment horizontal="center" vertical="center"/>
    </xf>
    <xf numFmtId="0" fontId="1" fillId="0" borderId="69" xfId="0" applyFont="1" applyBorder="1" applyAlignment="1">
      <alignment horizontal="center" vertical="center"/>
    </xf>
    <xf numFmtId="0" fontId="3" fillId="0" borderId="2" xfId="0" applyFont="1" applyBorder="1" applyAlignment="1">
      <alignment horizontal="center" vertical="center" textRotation="90" wrapText="1"/>
    </xf>
    <xf numFmtId="0" fontId="3" fillId="0" borderId="19" xfId="0" applyFont="1" applyBorder="1" applyAlignment="1">
      <alignment horizontal="center" vertical="center" textRotation="90" wrapText="1"/>
    </xf>
    <xf numFmtId="0" fontId="3" fillId="0" borderId="16" xfId="0" applyFont="1" applyBorder="1" applyAlignment="1">
      <alignment horizontal="center" vertical="center" textRotation="90" wrapText="1"/>
    </xf>
    <xf numFmtId="0" fontId="10" fillId="0" borderId="0" xfId="0" applyFont="1" applyAlignment="1">
      <alignment horizontal="center" vertical="center"/>
    </xf>
    <xf numFmtId="0" fontId="0" fillId="2" borderId="0" xfId="0" applyFill="1" applyBorder="1" applyAlignment="1">
      <alignment horizontal="center"/>
    </xf>
    <xf numFmtId="0" fontId="0" fillId="0" borderId="0" xfId="0" applyBorder="1" applyAlignment="1">
      <alignment horizontal="center"/>
    </xf>
  </cellXfs>
  <cellStyles count="1">
    <cellStyle name="Normal" xfId="0" builtinId="0"/>
  </cellStyles>
  <dxfs count="93">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theme="5"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rgb="FFFFFF00"/>
        </patternFill>
      </fill>
    </dxf>
    <dxf>
      <fill>
        <patternFill>
          <bgColor rgb="FF00B050"/>
        </patternFill>
      </fill>
    </dxf>
    <dxf>
      <fill>
        <patternFill>
          <bgColor rgb="FFFF00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theme="5" tint="-0.24994659260841701"/>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rgb="FFFFFF00"/>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theme="5"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theme="5"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theme="5"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9" tint="0.39994506668294322"/>
        </patternFill>
      </fill>
    </dxf>
    <dxf>
      <fill>
        <patternFill>
          <bgColor theme="7" tint="-0.24994659260841701"/>
        </patternFill>
      </fill>
    </dxf>
    <dxf>
      <fill>
        <patternFill>
          <bgColor theme="5" tint="-0.24994659260841701"/>
        </patternFill>
      </fill>
    </dxf>
    <dxf>
      <fill>
        <patternFill>
          <bgColor theme="9" tint="0.39994506668294322"/>
        </patternFill>
      </fill>
    </dxf>
    <dxf>
      <fill>
        <patternFill>
          <bgColor theme="7"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theme="5" tint="-0.24994659260841701"/>
        </patternFill>
      </fill>
    </dxf>
    <dxf>
      <fill>
        <patternFill>
          <bgColor rgb="FFFFFF00"/>
        </patternFill>
      </fill>
    </dxf>
    <dxf>
      <fill>
        <patternFill>
          <bgColor theme="6" tint="0.39994506668294322"/>
        </patternFill>
      </fill>
    </dxf>
    <dxf>
      <fill>
        <patternFill>
          <bgColor rgb="FF92D050"/>
        </patternFill>
      </fill>
    </dxf>
    <dxf>
      <fill>
        <patternFill>
          <bgColor theme="8" tint="0.59996337778862885"/>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95249</xdr:colOff>
      <xdr:row>1</xdr:row>
      <xdr:rowOff>66674</xdr:rowOff>
    </xdr:from>
    <xdr:ext cx="11420475" cy="6418116"/>
    <xdr:pic>
      <xdr:nvPicPr>
        <xdr:cNvPr id="2" name="Imagem 1">
          <a:extLst>
            <a:ext uri="{FF2B5EF4-FFF2-40B4-BE49-F238E27FC236}">
              <a16:creationId xmlns:a16="http://schemas.microsoft.com/office/drawing/2014/main" id="{98C7691F-515C-42F5-AF06-7EBA883B0BEC}"/>
            </a:ext>
          </a:extLst>
        </xdr:cNvPr>
        <xdr:cNvPicPr>
          <a:picLocks noChangeAspect="1"/>
        </xdr:cNvPicPr>
      </xdr:nvPicPr>
      <xdr:blipFill>
        <a:blip xmlns:r="http://schemas.openxmlformats.org/officeDocument/2006/relationships" r:embed="rId1"/>
        <a:stretch>
          <a:fillRect/>
        </a:stretch>
      </xdr:blipFill>
      <xdr:spPr>
        <a:xfrm>
          <a:off x="371474" y="257174"/>
          <a:ext cx="11420475" cy="6418116"/>
        </a:xfrm>
        <a:prstGeom prst="rect">
          <a:avLst/>
        </a:prstGeom>
        <a:ln>
          <a:solidFill>
            <a:srgbClr val="1B22B5"/>
          </a:solid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BBFF-D26B-4222-93CC-B3C001326ED1}">
  <dimension ref="A1"/>
  <sheetViews>
    <sheetView topLeftCell="A4" zoomScale="70" zoomScaleNormal="70" workbookViewId="0">
      <selection activeCell="H44" sqref="H44"/>
    </sheetView>
  </sheetViews>
  <sheetFormatPr defaultRowHeight="15"/>
  <cols>
    <col min="1" max="1" width="4.140625" customWidth="1"/>
  </cols>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92CE-6BAC-452F-BB76-A185A8E3E407}">
  <dimension ref="B2:D10"/>
  <sheetViews>
    <sheetView workbookViewId="0">
      <selection activeCell="C10" sqref="C10"/>
    </sheetView>
  </sheetViews>
  <sheetFormatPr defaultRowHeight="15"/>
  <cols>
    <col min="1" max="1" width="4.140625" customWidth="1"/>
    <col min="2" max="2" width="13" customWidth="1"/>
    <col min="3" max="3" width="9.140625" style="9"/>
    <col min="4" max="4" width="12.85546875" bestFit="1" customWidth="1"/>
  </cols>
  <sheetData>
    <row r="2" spans="2:4">
      <c r="B2" s="77" t="s">
        <v>0</v>
      </c>
      <c r="C2" s="4" t="s">
        <v>1</v>
      </c>
      <c r="D2" s="4" t="s">
        <v>2</v>
      </c>
    </row>
    <row r="3" spans="2:4">
      <c r="B3" s="77"/>
      <c r="C3" s="4" t="s">
        <v>3</v>
      </c>
      <c r="D3" s="4" t="s">
        <v>4</v>
      </c>
    </row>
    <row r="4" spans="2:4">
      <c r="B4" s="77"/>
      <c r="C4" s="4" t="s">
        <v>5</v>
      </c>
      <c r="D4" s="4" t="s">
        <v>6</v>
      </c>
    </row>
    <row r="5" spans="2:4">
      <c r="B5" s="77"/>
      <c r="C5" s="4" t="s">
        <v>7</v>
      </c>
      <c r="D5" s="4" t="s">
        <v>8</v>
      </c>
    </row>
    <row r="6" spans="2:4">
      <c r="B6" s="77" t="s">
        <v>9</v>
      </c>
      <c r="C6" s="4">
        <v>0</v>
      </c>
      <c r="D6" s="4" t="s">
        <v>10</v>
      </c>
    </row>
    <row r="7" spans="2:4">
      <c r="B7" s="77"/>
      <c r="C7" s="4">
        <v>1</v>
      </c>
      <c r="D7" s="4" t="s">
        <v>11</v>
      </c>
    </row>
    <row r="8" spans="2:4">
      <c r="B8" s="77" t="s">
        <v>12</v>
      </c>
      <c r="C8" s="4" t="s">
        <v>13</v>
      </c>
      <c r="D8" s="4" t="s">
        <v>14</v>
      </c>
    </row>
    <row r="9" spans="2:4">
      <c r="B9" s="77"/>
      <c r="C9" s="4" t="s">
        <v>15</v>
      </c>
      <c r="D9" s="4" t="s">
        <v>16</v>
      </c>
    </row>
    <row r="10" spans="2:4">
      <c r="B10" s="77"/>
      <c r="C10" s="4" t="s">
        <v>17</v>
      </c>
      <c r="D10" s="4" t="s">
        <v>18</v>
      </c>
    </row>
  </sheetData>
  <mergeCells count="3">
    <mergeCell ref="B2:B5"/>
    <mergeCell ref="B6:B7"/>
    <mergeCell ref="B8:B10"/>
  </mergeCells>
  <conditionalFormatting sqref="C8:C9">
    <cfRule type="cellIs" dxfId="92" priority="1" operator="equal">
      <formula>"I"</formula>
    </cfRule>
    <cfRule type="cellIs" dxfId="91" priority="2" operator="equal">
      <formula>"A"</formula>
    </cfRule>
    <cfRule type="cellIs" dxfId="90" priority="5" operator="equal">
      <formula>0</formula>
    </cfRule>
    <cfRule type="cellIs" dxfId="89" priority="6" operator="equal">
      <formula>"B"</formula>
    </cfRule>
    <cfRule type="cellIs" dxfId="88" priority="7" operator="equal">
      <formula>"P"</formula>
    </cfRule>
    <cfRule type="cellIs" dxfId="87" priority="8" operator="equal">
      <formula>"B"</formula>
    </cfRule>
  </conditionalFormatting>
  <conditionalFormatting sqref="C2:D7 D8:D9 C10:D10">
    <cfRule type="cellIs" dxfId="86" priority="9" operator="equal">
      <formula>"D"</formula>
    </cfRule>
    <cfRule type="cellIs" dxfId="85" priority="12" operator="equal">
      <formula>0</formula>
    </cfRule>
    <cfRule type="cellIs" dxfId="84" priority="13" operator="equal">
      <formula>"B"</formula>
    </cfRule>
    <cfRule type="cellIs" dxfId="83" priority="14" operator="equal">
      <formula>"P"</formula>
    </cfRule>
    <cfRule type="cellIs" dxfId="82" priority="15" operator="equal">
      <formula>"O"</formula>
    </cfRule>
  </conditionalFormatting>
  <conditionalFormatting sqref="C2:D10">
    <cfRule type="cellIs" dxfId="81" priority="3" operator="equal">
      <formula>"N"</formula>
    </cfRule>
    <cfRule type="cellIs" dxfId="80" priority="4" operator="equal">
      <formula>1</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9466C-50C5-4AC2-AFBD-C3D88D160A3B}">
  <dimension ref="B2:AL17"/>
  <sheetViews>
    <sheetView workbookViewId="0">
      <selection activeCell="C28" sqref="C28"/>
    </sheetView>
  </sheetViews>
  <sheetFormatPr defaultRowHeight="15"/>
  <cols>
    <col min="2" max="2" width="16.5703125" bestFit="1" customWidth="1"/>
    <col min="3" max="3" width="29.140625" bestFit="1" customWidth="1"/>
    <col min="4" max="11" width="4.5703125" customWidth="1"/>
    <col min="12" max="12" width="1.28515625" customWidth="1"/>
    <col min="13" max="14" width="4.5703125" customWidth="1"/>
    <col min="15" max="20" width="4.7109375" customWidth="1"/>
    <col min="21" max="21" width="1.28515625" customWidth="1"/>
    <col min="22" max="29" width="4.7109375" customWidth="1"/>
    <col min="30" max="30" width="1.28515625" customWidth="1"/>
    <col min="31" max="38" width="4.7109375" customWidth="1"/>
  </cols>
  <sheetData>
    <row r="2" spans="2:38" ht="59.25" customHeight="1">
      <c r="B2" s="85" t="s">
        <v>19</v>
      </c>
      <c r="C2" s="88" t="s">
        <v>20</v>
      </c>
      <c r="D2" s="103" t="s">
        <v>21</v>
      </c>
      <c r="E2" s="92"/>
      <c r="F2" s="93" t="s">
        <v>22</v>
      </c>
      <c r="G2" s="92"/>
      <c r="H2" s="93" t="s">
        <v>23</v>
      </c>
      <c r="I2" s="92"/>
      <c r="J2" s="93" t="s">
        <v>24</v>
      </c>
      <c r="K2" s="104"/>
      <c r="M2" s="91" t="s">
        <v>25</v>
      </c>
      <c r="N2" s="92"/>
      <c r="O2" s="93" t="s">
        <v>26</v>
      </c>
      <c r="P2" s="92"/>
      <c r="Q2" s="93" t="s">
        <v>27</v>
      </c>
      <c r="R2" s="92"/>
      <c r="S2" s="93" t="s">
        <v>28</v>
      </c>
      <c r="T2" s="94"/>
      <c r="V2" s="91" t="s">
        <v>29</v>
      </c>
      <c r="W2" s="92"/>
      <c r="X2" s="93" t="s">
        <v>30</v>
      </c>
      <c r="Y2" s="92"/>
      <c r="Z2" s="93" t="s">
        <v>31</v>
      </c>
      <c r="AA2" s="92"/>
      <c r="AB2" s="93" t="s">
        <v>32</v>
      </c>
      <c r="AC2" s="94"/>
      <c r="AE2" s="91" t="s">
        <v>33</v>
      </c>
      <c r="AF2" s="92"/>
      <c r="AG2" s="93" t="s">
        <v>34</v>
      </c>
      <c r="AH2" s="92"/>
      <c r="AI2" s="93" t="s">
        <v>35</v>
      </c>
      <c r="AJ2" s="92"/>
      <c r="AK2" s="93" t="s">
        <v>36</v>
      </c>
      <c r="AL2" s="94"/>
    </row>
    <row r="3" spans="2:38" ht="15" customHeight="1">
      <c r="B3" s="86"/>
      <c r="C3" s="89"/>
      <c r="D3" s="105" t="s">
        <v>37</v>
      </c>
      <c r="E3" s="80" t="s">
        <v>9</v>
      </c>
      <c r="F3" s="80" t="s">
        <v>37</v>
      </c>
      <c r="G3" s="80" t="s">
        <v>9</v>
      </c>
      <c r="H3" s="80" t="s">
        <v>37</v>
      </c>
      <c r="I3" s="80" t="s">
        <v>9</v>
      </c>
      <c r="J3" s="80" t="s">
        <v>37</v>
      </c>
      <c r="K3" s="107" t="s">
        <v>9</v>
      </c>
      <c r="L3" t="s">
        <v>38</v>
      </c>
      <c r="M3" s="95" t="s">
        <v>37</v>
      </c>
      <c r="N3" s="80" t="s">
        <v>9</v>
      </c>
      <c r="O3" s="80" t="s">
        <v>37</v>
      </c>
      <c r="P3" s="80" t="s">
        <v>9</v>
      </c>
      <c r="Q3" s="80" t="s">
        <v>37</v>
      </c>
      <c r="R3" s="80" t="s">
        <v>9</v>
      </c>
      <c r="S3" s="80" t="s">
        <v>37</v>
      </c>
      <c r="T3" s="82" t="s">
        <v>9</v>
      </c>
      <c r="U3" t="s">
        <v>38</v>
      </c>
      <c r="V3" s="95" t="s">
        <v>37</v>
      </c>
      <c r="W3" s="80" t="s">
        <v>9</v>
      </c>
      <c r="X3" s="80" t="s">
        <v>37</v>
      </c>
      <c r="Y3" s="80" t="s">
        <v>9</v>
      </c>
      <c r="Z3" s="80" t="s">
        <v>37</v>
      </c>
      <c r="AA3" s="80" t="s">
        <v>9</v>
      </c>
      <c r="AB3" s="80" t="s">
        <v>37</v>
      </c>
      <c r="AC3" s="82" t="s">
        <v>9</v>
      </c>
      <c r="AE3" s="95" t="s">
        <v>37</v>
      </c>
      <c r="AF3" s="80" t="s">
        <v>9</v>
      </c>
      <c r="AG3" s="80" t="s">
        <v>37</v>
      </c>
      <c r="AH3" s="80" t="s">
        <v>9</v>
      </c>
      <c r="AI3" s="80" t="s">
        <v>37</v>
      </c>
      <c r="AJ3" s="80" t="s">
        <v>9</v>
      </c>
      <c r="AK3" s="80" t="s">
        <v>37</v>
      </c>
      <c r="AL3" s="82" t="s">
        <v>9</v>
      </c>
    </row>
    <row r="4" spans="2:38" ht="36" customHeight="1">
      <c r="B4" s="87"/>
      <c r="C4" s="90"/>
      <c r="D4" s="106"/>
      <c r="E4" s="81"/>
      <c r="F4" s="81"/>
      <c r="G4" s="81"/>
      <c r="H4" s="81"/>
      <c r="I4" s="81"/>
      <c r="J4" s="81"/>
      <c r="K4" s="108"/>
      <c r="L4" t="s">
        <v>38</v>
      </c>
      <c r="M4" s="96"/>
      <c r="N4" s="81"/>
      <c r="O4" s="81"/>
      <c r="P4" s="81"/>
      <c r="Q4" s="81"/>
      <c r="R4" s="81"/>
      <c r="S4" s="81"/>
      <c r="T4" s="83"/>
      <c r="U4" t="s">
        <v>38</v>
      </c>
      <c r="V4" s="96"/>
      <c r="W4" s="81"/>
      <c r="X4" s="81"/>
      <c r="Y4" s="81"/>
      <c r="Z4" s="81"/>
      <c r="AA4" s="81"/>
      <c r="AB4" s="81"/>
      <c r="AC4" s="83"/>
      <c r="AE4" s="96"/>
      <c r="AF4" s="81"/>
      <c r="AG4" s="81"/>
      <c r="AH4" s="81"/>
      <c r="AI4" s="81"/>
      <c r="AJ4" s="81"/>
      <c r="AK4" s="81"/>
      <c r="AL4" s="83"/>
    </row>
    <row r="5" spans="2:38">
      <c r="B5" s="32" t="s">
        <v>39</v>
      </c>
      <c r="C5" s="10" t="s">
        <v>40</v>
      </c>
      <c r="D5" s="6" t="s">
        <v>3</v>
      </c>
      <c r="E5" s="4">
        <v>0</v>
      </c>
      <c r="F5" s="4" t="s">
        <v>3</v>
      </c>
      <c r="G5" s="4">
        <v>0</v>
      </c>
      <c r="H5" s="4" t="s">
        <v>5</v>
      </c>
      <c r="I5" s="4">
        <v>0</v>
      </c>
      <c r="J5" s="4" t="s">
        <v>7</v>
      </c>
      <c r="K5" s="5">
        <v>0</v>
      </c>
      <c r="L5" t="s">
        <v>38</v>
      </c>
      <c r="M5" s="41" t="s">
        <v>3</v>
      </c>
      <c r="N5" s="4">
        <v>0</v>
      </c>
      <c r="O5" s="4" t="s">
        <v>3</v>
      </c>
      <c r="P5" s="4">
        <v>0</v>
      </c>
      <c r="Q5" s="4" t="s">
        <v>5</v>
      </c>
      <c r="R5" s="4">
        <v>0</v>
      </c>
      <c r="S5" s="4" t="s">
        <v>7</v>
      </c>
      <c r="T5" s="5">
        <v>0</v>
      </c>
      <c r="U5" t="s">
        <v>38</v>
      </c>
      <c r="V5" s="41" t="s">
        <v>3</v>
      </c>
      <c r="W5" s="4">
        <v>0</v>
      </c>
      <c r="X5" s="4" t="s">
        <v>3</v>
      </c>
      <c r="Y5" s="4">
        <v>0</v>
      </c>
      <c r="Z5" s="4" t="s">
        <v>5</v>
      </c>
      <c r="AA5" s="4">
        <v>0</v>
      </c>
      <c r="AB5" s="4" t="s">
        <v>7</v>
      </c>
      <c r="AC5" s="33">
        <v>0</v>
      </c>
      <c r="AE5" s="41" t="s">
        <v>3</v>
      </c>
      <c r="AF5" s="4">
        <v>0</v>
      </c>
      <c r="AG5" s="4" t="s">
        <v>3</v>
      </c>
      <c r="AH5" s="4">
        <v>0</v>
      </c>
      <c r="AI5" s="4" t="s">
        <v>5</v>
      </c>
      <c r="AJ5" s="4">
        <v>0</v>
      </c>
      <c r="AK5" s="4" t="s">
        <v>7</v>
      </c>
      <c r="AL5" s="33">
        <v>0</v>
      </c>
    </row>
    <row r="6" spans="2:38">
      <c r="B6" s="34" t="s">
        <v>39</v>
      </c>
      <c r="C6" s="11" t="s">
        <v>41</v>
      </c>
      <c r="D6" s="6" t="s">
        <v>3</v>
      </c>
      <c r="E6" s="4">
        <v>0</v>
      </c>
      <c r="F6" s="4" t="s">
        <v>3</v>
      </c>
      <c r="G6" s="4">
        <v>0</v>
      </c>
      <c r="H6" s="4" t="s">
        <v>5</v>
      </c>
      <c r="I6" s="4">
        <v>0</v>
      </c>
      <c r="J6" s="4" t="s">
        <v>7</v>
      </c>
      <c r="K6" s="5">
        <v>0</v>
      </c>
      <c r="L6" t="s">
        <v>38</v>
      </c>
      <c r="M6" s="41" t="s">
        <v>3</v>
      </c>
      <c r="N6" s="4">
        <v>0</v>
      </c>
      <c r="O6" s="4" t="s">
        <v>3</v>
      </c>
      <c r="P6" s="4">
        <v>0</v>
      </c>
      <c r="Q6" s="4" t="s">
        <v>5</v>
      </c>
      <c r="R6" s="4">
        <v>0</v>
      </c>
      <c r="S6" s="4" t="s">
        <v>7</v>
      </c>
      <c r="T6" s="5">
        <v>0</v>
      </c>
      <c r="U6" t="s">
        <v>38</v>
      </c>
      <c r="V6" s="41" t="s">
        <v>3</v>
      </c>
      <c r="W6" s="4">
        <v>0</v>
      </c>
      <c r="X6" s="4" t="s">
        <v>3</v>
      </c>
      <c r="Y6" s="4">
        <v>0</v>
      </c>
      <c r="Z6" s="4" t="s">
        <v>5</v>
      </c>
      <c r="AA6" s="4">
        <v>0</v>
      </c>
      <c r="AB6" s="4" t="s">
        <v>7</v>
      </c>
      <c r="AC6" s="33">
        <v>0</v>
      </c>
      <c r="AE6" s="41" t="s">
        <v>3</v>
      </c>
      <c r="AF6" s="4">
        <v>0</v>
      </c>
      <c r="AG6" s="4" t="s">
        <v>3</v>
      </c>
      <c r="AH6" s="4">
        <v>0</v>
      </c>
      <c r="AI6" s="4" t="s">
        <v>5</v>
      </c>
      <c r="AJ6" s="4">
        <v>0</v>
      </c>
      <c r="AK6" s="4" t="s">
        <v>7</v>
      </c>
      <c r="AL6" s="33">
        <v>0</v>
      </c>
    </row>
    <row r="7" spans="2:38">
      <c r="B7" s="32" t="s">
        <v>39</v>
      </c>
      <c r="C7" s="10" t="s">
        <v>42</v>
      </c>
      <c r="D7" s="6" t="s">
        <v>3</v>
      </c>
      <c r="E7" s="4">
        <v>0</v>
      </c>
      <c r="F7" s="4" t="s">
        <v>3</v>
      </c>
      <c r="G7" s="4">
        <v>0</v>
      </c>
      <c r="H7" s="4" t="s">
        <v>5</v>
      </c>
      <c r="I7" s="4">
        <v>0</v>
      </c>
      <c r="J7" s="4" t="s">
        <v>7</v>
      </c>
      <c r="K7" s="5">
        <v>0</v>
      </c>
      <c r="L7" t="s">
        <v>38</v>
      </c>
      <c r="M7" s="41" t="s">
        <v>3</v>
      </c>
      <c r="N7" s="4">
        <v>0</v>
      </c>
      <c r="O7" s="4" t="s">
        <v>3</v>
      </c>
      <c r="P7" s="4">
        <v>0</v>
      </c>
      <c r="Q7" s="4" t="s">
        <v>5</v>
      </c>
      <c r="R7" s="4">
        <v>0</v>
      </c>
      <c r="S7" s="4" t="s">
        <v>7</v>
      </c>
      <c r="T7" s="5">
        <v>0</v>
      </c>
      <c r="U7" t="s">
        <v>38</v>
      </c>
      <c r="V7" s="41" t="s">
        <v>3</v>
      </c>
      <c r="W7" s="4">
        <v>0</v>
      </c>
      <c r="X7" s="4" t="s">
        <v>3</v>
      </c>
      <c r="Y7" s="4">
        <v>0</v>
      </c>
      <c r="Z7" s="4" t="s">
        <v>5</v>
      </c>
      <c r="AA7" s="4">
        <v>0</v>
      </c>
      <c r="AB7" s="4" t="s">
        <v>7</v>
      </c>
      <c r="AC7" s="33">
        <v>0</v>
      </c>
      <c r="AE7" s="41" t="s">
        <v>3</v>
      </c>
      <c r="AF7" s="4">
        <v>0</v>
      </c>
      <c r="AG7" s="4" t="s">
        <v>3</v>
      </c>
      <c r="AH7" s="4">
        <v>0</v>
      </c>
      <c r="AI7" s="4" t="s">
        <v>5</v>
      </c>
      <c r="AJ7" s="4">
        <v>0</v>
      </c>
      <c r="AK7" s="4" t="s">
        <v>7</v>
      </c>
      <c r="AL7" s="33">
        <v>0</v>
      </c>
    </row>
    <row r="8" spans="2:38">
      <c r="B8" s="34" t="s">
        <v>39</v>
      </c>
      <c r="C8" s="11" t="s">
        <v>43</v>
      </c>
      <c r="D8" s="6" t="s">
        <v>3</v>
      </c>
      <c r="E8" s="4">
        <v>0</v>
      </c>
      <c r="F8" s="4" t="s">
        <v>3</v>
      </c>
      <c r="G8" s="4">
        <v>0</v>
      </c>
      <c r="H8" s="4" t="s">
        <v>5</v>
      </c>
      <c r="I8" s="4">
        <v>0</v>
      </c>
      <c r="J8" s="4" t="s">
        <v>7</v>
      </c>
      <c r="K8" s="5">
        <v>0</v>
      </c>
      <c r="L8" t="s">
        <v>38</v>
      </c>
      <c r="M8" s="41" t="s">
        <v>3</v>
      </c>
      <c r="N8" s="4">
        <v>0</v>
      </c>
      <c r="O8" s="4" t="s">
        <v>3</v>
      </c>
      <c r="P8" s="4">
        <v>0</v>
      </c>
      <c r="Q8" s="4" t="s">
        <v>5</v>
      </c>
      <c r="R8" s="4">
        <v>0</v>
      </c>
      <c r="S8" s="4" t="s">
        <v>7</v>
      </c>
      <c r="T8" s="5">
        <v>0</v>
      </c>
      <c r="U8" t="s">
        <v>38</v>
      </c>
      <c r="V8" s="41" t="s">
        <v>3</v>
      </c>
      <c r="W8" s="4">
        <v>0</v>
      </c>
      <c r="X8" s="4" t="s">
        <v>3</v>
      </c>
      <c r="Y8" s="4">
        <v>0</v>
      </c>
      <c r="Z8" s="4" t="s">
        <v>5</v>
      </c>
      <c r="AA8" s="4">
        <v>0</v>
      </c>
      <c r="AB8" s="4" t="s">
        <v>7</v>
      </c>
      <c r="AC8" s="33">
        <v>0</v>
      </c>
      <c r="AE8" s="41" t="s">
        <v>3</v>
      </c>
      <c r="AF8" s="4">
        <v>0</v>
      </c>
      <c r="AG8" s="4" t="s">
        <v>3</v>
      </c>
      <c r="AH8" s="4">
        <v>0</v>
      </c>
      <c r="AI8" s="4" t="s">
        <v>5</v>
      </c>
      <c r="AJ8" s="4">
        <v>0</v>
      </c>
      <c r="AK8" s="4" t="s">
        <v>7</v>
      </c>
      <c r="AL8" s="33">
        <v>0</v>
      </c>
    </row>
    <row r="9" spans="2:38">
      <c r="B9" s="32" t="s">
        <v>39</v>
      </c>
      <c r="C9" s="10" t="s">
        <v>44</v>
      </c>
      <c r="D9" s="6" t="s">
        <v>3</v>
      </c>
      <c r="E9" s="4">
        <v>0</v>
      </c>
      <c r="F9" s="4" t="s">
        <v>3</v>
      </c>
      <c r="G9" s="4">
        <v>0</v>
      </c>
      <c r="H9" s="4" t="s">
        <v>5</v>
      </c>
      <c r="I9" s="4">
        <v>0</v>
      </c>
      <c r="J9" s="4" t="s">
        <v>7</v>
      </c>
      <c r="K9" s="5">
        <v>0</v>
      </c>
      <c r="L9" s="43" t="s">
        <v>38</v>
      </c>
      <c r="M9" s="41" t="s">
        <v>3</v>
      </c>
      <c r="N9" s="4">
        <v>0</v>
      </c>
      <c r="O9" s="4" t="s">
        <v>3</v>
      </c>
      <c r="P9" s="4">
        <v>0</v>
      </c>
      <c r="Q9" s="4" t="s">
        <v>5</v>
      </c>
      <c r="R9" s="4">
        <v>0</v>
      </c>
      <c r="S9" s="4" t="s">
        <v>7</v>
      </c>
      <c r="T9" s="5">
        <v>0</v>
      </c>
      <c r="U9" s="7" t="s">
        <v>38</v>
      </c>
      <c r="V9" s="41" t="s">
        <v>3</v>
      </c>
      <c r="W9" s="4">
        <v>0</v>
      </c>
      <c r="X9" s="4" t="s">
        <v>3</v>
      </c>
      <c r="Y9" s="4">
        <v>0</v>
      </c>
      <c r="Z9" s="4" t="s">
        <v>5</v>
      </c>
      <c r="AA9" s="4">
        <v>0</v>
      </c>
      <c r="AB9" s="4" t="s">
        <v>7</v>
      </c>
      <c r="AC9" s="33">
        <v>0</v>
      </c>
      <c r="AE9" s="41" t="s">
        <v>3</v>
      </c>
      <c r="AF9" s="4">
        <v>0</v>
      </c>
      <c r="AG9" s="4" t="s">
        <v>3</v>
      </c>
      <c r="AH9" s="4">
        <v>0</v>
      </c>
      <c r="AI9" s="4" t="s">
        <v>5</v>
      </c>
      <c r="AJ9" s="4">
        <v>0</v>
      </c>
      <c r="AK9" s="4" t="s">
        <v>7</v>
      </c>
      <c r="AL9" s="33">
        <v>0</v>
      </c>
    </row>
    <row r="10" spans="2:38">
      <c r="B10" s="35" t="s">
        <v>39</v>
      </c>
      <c r="C10" s="36" t="s">
        <v>45</v>
      </c>
      <c r="D10" s="37" t="s">
        <v>3</v>
      </c>
      <c r="E10" s="38">
        <v>0</v>
      </c>
      <c r="F10" s="38" t="s">
        <v>3</v>
      </c>
      <c r="G10" s="38">
        <v>0</v>
      </c>
      <c r="H10" s="38" t="s">
        <v>5</v>
      </c>
      <c r="I10" s="38">
        <v>0</v>
      </c>
      <c r="J10" s="38" t="s">
        <v>7</v>
      </c>
      <c r="K10" s="39">
        <v>0</v>
      </c>
      <c r="L10" t="s">
        <v>38</v>
      </c>
      <c r="M10" s="42" t="s">
        <v>3</v>
      </c>
      <c r="N10" s="38">
        <v>0</v>
      </c>
      <c r="O10" s="38" t="s">
        <v>3</v>
      </c>
      <c r="P10" s="38">
        <v>0</v>
      </c>
      <c r="Q10" s="38" t="s">
        <v>5</v>
      </c>
      <c r="R10" s="38">
        <v>0</v>
      </c>
      <c r="S10" s="38" t="s">
        <v>7</v>
      </c>
      <c r="T10" s="39">
        <v>0</v>
      </c>
      <c r="U10" t="s">
        <v>38</v>
      </c>
      <c r="V10" s="42" t="s">
        <v>3</v>
      </c>
      <c r="W10" s="38">
        <v>0</v>
      </c>
      <c r="X10" s="38" t="s">
        <v>3</v>
      </c>
      <c r="Y10" s="38">
        <v>0</v>
      </c>
      <c r="Z10" s="38" t="s">
        <v>5</v>
      </c>
      <c r="AA10" s="38">
        <v>0</v>
      </c>
      <c r="AB10" s="38" t="s">
        <v>7</v>
      </c>
      <c r="AC10" s="40">
        <v>0</v>
      </c>
      <c r="AE10" s="42" t="s">
        <v>3</v>
      </c>
      <c r="AF10" s="38">
        <v>0</v>
      </c>
      <c r="AG10" s="38" t="s">
        <v>3</v>
      </c>
      <c r="AH10" s="38">
        <v>0</v>
      </c>
      <c r="AI10" s="38" t="s">
        <v>5</v>
      </c>
      <c r="AJ10" s="38">
        <v>0</v>
      </c>
      <c r="AK10" s="38" t="s">
        <v>7</v>
      </c>
      <c r="AL10" s="40">
        <v>0</v>
      </c>
    </row>
    <row r="12" spans="2:38">
      <c r="B12" s="84" t="s">
        <v>46</v>
      </c>
      <c r="C12" s="84"/>
      <c r="D12" s="84"/>
      <c r="E12" s="84"/>
      <c r="F12" s="84"/>
      <c r="G12" s="84"/>
      <c r="H12" s="84"/>
      <c r="I12" s="84"/>
      <c r="J12" s="84"/>
    </row>
    <row r="13" spans="2:38" ht="15" customHeight="1">
      <c r="B13" s="31" t="s">
        <v>47</v>
      </c>
      <c r="C13" s="31" t="s">
        <v>37</v>
      </c>
      <c r="D13" s="78" t="s">
        <v>48</v>
      </c>
      <c r="E13" s="79"/>
      <c r="F13" s="79"/>
      <c r="G13" s="79"/>
      <c r="H13" s="79"/>
      <c r="I13" s="79"/>
      <c r="J13" s="79"/>
    </row>
    <row r="14" spans="2:38" ht="15" customHeight="1">
      <c r="B14" s="4" t="s">
        <v>1</v>
      </c>
      <c r="C14" s="12" t="s">
        <v>2</v>
      </c>
      <c r="D14" s="97" t="s">
        <v>49</v>
      </c>
      <c r="E14" s="98"/>
      <c r="F14" s="98"/>
      <c r="G14" s="98"/>
      <c r="H14" s="98"/>
      <c r="I14" s="98"/>
      <c r="J14" s="99"/>
    </row>
    <row r="15" spans="2:38" ht="15" customHeight="1">
      <c r="B15" s="4" t="s">
        <v>3</v>
      </c>
      <c r="C15" s="13" t="s">
        <v>4</v>
      </c>
      <c r="D15" s="100" t="s">
        <v>50</v>
      </c>
      <c r="E15" s="101"/>
      <c r="F15" s="101"/>
      <c r="G15" s="101"/>
      <c r="H15" s="101"/>
      <c r="I15" s="101"/>
      <c r="J15" s="102"/>
    </row>
    <row r="16" spans="2:38" ht="15" customHeight="1">
      <c r="B16" s="4" t="s">
        <v>5</v>
      </c>
      <c r="C16" s="12" t="s">
        <v>6</v>
      </c>
      <c r="D16" s="97" t="s">
        <v>51</v>
      </c>
      <c r="E16" s="98"/>
      <c r="F16" s="98"/>
      <c r="G16" s="98"/>
      <c r="H16" s="98"/>
      <c r="I16" s="98"/>
      <c r="J16" s="99"/>
    </row>
    <row r="17" spans="2:10" ht="15" customHeight="1">
      <c r="B17" s="4" t="s">
        <v>7</v>
      </c>
      <c r="C17" s="13" t="s">
        <v>8</v>
      </c>
      <c r="D17" s="100" t="s">
        <v>52</v>
      </c>
      <c r="E17" s="101"/>
      <c r="F17" s="101"/>
      <c r="G17" s="101"/>
      <c r="H17" s="101"/>
      <c r="I17" s="101"/>
      <c r="J17" s="102"/>
    </row>
  </sheetData>
  <mergeCells count="56">
    <mergeCell ref="D14:J14"/>
    <mergeCell ref="D15:J15"/>
    <mergeCell ref="D16:J16"/>
    <mergeCell ref="D17:J17"/>
    <mergeCell ref="D2:E2"/>
    <mergeCell ref="F2:G2"/>
    <mergeCell ref="H2:I2"/>
    <mergeCell ref="J2:K2"/>
    <mergeCell ref="D3:D4"/>
    <mergeCell ref="E3:E4"/>
    <mergeCell ref="F3:F4"/>
    <mergeCell ref="G3:G4"/>
    <mergeCell ref="H3:H4"/>
    <mergeCell ref="I3:I4"/>
    <mergeCell ref="J3:J4"/>
    <mergeCell ref="K3:K4"/>
    <mergeCell ref="M2:N2"/>
    <mergeCell ref="O2:P2"/>
    <mergeCell ref="Q2:R2"/>
    <mergeCell ref="S2:T2"/>
    <mergeCell ref="M3:M4"/>
    <mergeCell ref="N3:N4"/>
    <mergeCell ref="O3:O4"/>
    <mergeCell ref="P3:P4"/>
    <mergeCell ref="Q3:Q4"/>
    <mergeCell ref="R3:R4"/>
    <mergeCell ref="S3:S4"/>
    <mergeCell ref="T3:T4"/>
    <mergeCell ref="V2:W2"/>
    <mergeCell ref="X2:Y2"/>
    <mergeCell ref="Z2:AA2"/>
    <mergeCell ref="AB2:AC2"/>
    <mergeCell ref="V3:V4"/>
    <mergeCell ref="W3:W4"/>
    <mergeCell ref="X3:X4"/>
    <mergeCell ref="Y3:Y4"/>
    <mergeCell ref="Z3:Z4"/>
    <mergeCell ref="AA3:AA4"/>
    <mergeCell ref="AB3:AB4"/>
    <mergeCell ref="AC3:AC4"/>
    <mergeCell ref="D13:J13"/>
    <mergeCell ref="AI3:AI4"/>
    <mergeCell ref="AJ3:AJ4"/>
    <mergeCell ref="AK3:AK4"/>
    <mergeCell ref="AL3:AL4"/>
    <mergeCell ref="B12:J12"/>
    <mergeCell ref="B2:B4"/>
    <mergeCell ref="C2:C4"/>
    <mergeCell ref="AE2:AF2"/>
    <mergeCell ref="AG2:AH2"/>
    <mergeCell ref="AI2:AJ2"/>
    <mergeCell ref="AK2:AL2"/>
    <mergeCell ref="AE3:AE4"/>
    <mergeCell ref="AF3:AF4"/>
    <mergeCell ref="AG3:AG4"/>
    <mergeCell ref="AH3:AH4"/>
  </mergeCells>
  <conditionalFormatting sqref="B14:B17">
    <cfRule type="cellIs" dxfId="79" priority="29" operator="equal">
      <formula>"D"</formula>
    </cfRule>
    <cfRule type="cellIs" dxfId="78" priority="30" operator="equal">
      <formula>"N"</formula>
    </cfRule>
    <cfRule type="cellIs" dxfId="77" priority="31" operator="equal">
      <formula>1</formula>
    </cfRule>
    <cfRule type="cellIs" dxfId="76" priority="32" operator="equal">
      <formula>0</formula>
    </cfRule>
    <cfRule type="cellIs" dxfId="75" priority="33" operator="equal">
      <formula>"B"</formula>
    </cfRule>
    <cfRule type="cellIs" dxfId="74" priority="34" operator="equal">
      <formula>"P"</formula>
    </cfRule>
    <cfRule type="cellIs" dxfId="73" priority="35" operator="equal">
      <formula>"O"</formula>
    </cfRule>
  </conditionalFormatting>
  <conditionalFormatting sqref="B13:D13">
    <cfRule type="cellIs" dxfId="72" priority="22" operator="equal">
      <formula>"D"</formula>
    </cfRule>
    <cfRule type="cellIs" dxfId="71" priority="23" operator="equal">
      <formula>"N"</formula>
    </cfRule>
    <cfRule type="cellIs" dxfId="70" priority="24" operator="equal">
      <formula>1</formula>
    </cfRule>
    <cfRule type="cellIs" dxfId="69" priority="25" operator="equal">
      <formula>0</formula>
    </cfRule>
    <cfRule type="cellIs" dxfId="68" priority="26" operator="equal">
      <formula>"B"</formula>
    </cfRule>
    <cfRule type="cellIs" dxfId="67" priority="27" operator="equal">
      <formula>"P"</formula>
    </cfRule>
    <cfRule type="cellIs" dxfId="66" priority="28" operator="equal">
      <formula>"O"</formula>
    </cfRule>
  </conditionalFormatting>
  <conditionalFormatting sqref="D5:K8 M5:R8 S5:T10 V5:AC10 D9:R9 U9 D10:K10 M10:R10">
    <cfRule type="cellIs" dxfId="65" priority="50" operator="equal">
      <formula>"D"</formula>
    </cfRule>
    <cfRule type="cellIs" dxfId="64" priority="51" operator="equal">
      <formula>"N"</formula>
    </cfRule>
    <cfRule type="cellIs" dxfId="63" priority="52" operator="equal">
      <formula>1</formula>
    </cfRule>
    <cfRule type="cellIs" dxfId="62" priority="53" operator="equal">
      <formula>0</formula>
    </cfRule>
    <cfRule type="cellIs" dxfId="61" priority="54" operator="equal">
      <formula>"B"</formula>
    </cfRule>
    <cfRule type="cellIs" dxfId="60" priority="55" operator="equal">
      <formula>"P"</formula>
    </cfRule>
    <cfRule type="cellIs" dxfId="59" priority="56" operator="equal">
      <formula>"O"</formula>
    </cfRule>
  </conditionalFormatting>
  <conditionalFormatting sqref="AE5:AL10">
    <cfRule type="cellIs" dxfId="58" priority="1" operator="equal">
      <formula>"D"</formula>
    </cfRule>
    <cfRule type="cellIs" dxfId="57" priority="2" operator="equal">
      <formula>"N"</formula>
    </cfRule>
    <cfRule type="cellIs" dxfId="56" priority="3" operator="equal">
      <formula>1</formula>
    </cfRule>
    <cfRule type="cellIs" dxfId="55" priority="4" operator="equal">
      <formula>0</formula>
    </cfRule>
    <cfRule type="cellIs" dxfId="54" priority="5" operator="equal">
      <formula>"B"</formula>
    </cfRule>
    <cfRule type="cellIs" dxfId="53" priority="6" operator="equal">
      <formula>"P"</formula>
    </cfRule>
    <cfRule type="cellIs" dxfId="52" priority="7" operator="equal">
      <formula>"O"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C139"/>
  <sheetViews>
    <sheetView tabSelected="1" topLeftCell="A100" zoomScale="70" zoomScaleNormal="70" workbookViewId="0">
      <selection activeCell="D138" sqref="D138:D139"/>
    </sheetView>
  </sheetViews>
  <sheetFormatPr defaultRowHeight="15"/>
  <cols>
    <col min="1" max="1" width="2" style="2" customWidth="1"/>
    <col min="2" max="2" width="15.28515625" style="2" bestFit="1" customWidth="1"/>
    <col min="3" max="3" width="15.42578125" style="2" bestFit="1" customWidth="1"/>
    <col min="4" max="4" width="135.85546875" style="2" bestFit="1" customWidth="1"/>
    <col min="5" max="12" width="5.7109375" style="2" hidden="1" customWidth="1"/>
    <col min="13" max="13" width="0.85546875" style="2" hidden="1" customWidth="1"/>
    <col min="14" max="21" width="5.7109375" style="2" hidden="1" customWidth="1"/>
    <col min="22" max="22" width="0.85546875" style="2" hidden="1" customWidth="1"/>
    <col min="23" max="30" width="5.7109375" style="2" hidden="1" customWidth="1"/>
    <col min="31" max="31" width="0.85546875" style="2" hidden="1" customWidth="1"/>
    <col min="32" max="39" width="5.7109375" style="2" hidden="1" customWidth="1"/>
    <col min="40" max="40" width="0.85546875" style="2" hidden="1" customWidth="1"/>
    <col min="41" max="44" width="5.28515625" style="2" hidden="1" customWidth="1"/>
    <col min="45" max="45" width="2" style="2" hidden="1" customWidth="1"/>
    <col min="46" max="69" width="10.42578125" style="2" hidden="1" customWidth="1"/>
    <col min="70" max="79" width="10.42578125" style="2" customWidth="1"/>
    <col min="80" max="80" width="1.85546875" style="2" customWidth="1"/>
    <col min="81" max="81" width="9" style="2" customWidth="1"/>
    <col min="82" max="16384" width="9.140625" style="2"/>
  </cols>
  <sheetData>
    <row r="1" spans="2:81" ht="7.5" customHeight="1" thickBot="1"/>
    <row r="2" spans="2:81" ht="62.25" customHeight="1">
      <c r="B2" s="139" t="s">
        <v>53</v>
      </c>
      <c r="C2" s="137" t="s">
        <v>19</v>
      </c>
      <c r="D2" s="134" t="s">
        <v>20</v>
      </c>
      <c r="E2" s="124" t="s">
        <v>21</v>
      </c>
      <c r="F2" s="125"/>
      <c r="G2" s="126" t="s">
        <v>22</v>
      </c>
      <c r="H2" s="125"/>
      <c r="I2" s="126" t="s">
        <v>23</v>
      </c>
      <c r="J2" s="125"/>
      <c r="K2" s="126" t="s">
        <v>24</v>
      </c>
      <c r="L2" s="127"/>
      <c r="M2" s="3"/>
      <c r="N2" s="124" t="s">
        <v>25</v>
      </c>
      <c r="O2" s="125"/>
      <c r="P2" s="126" t="s">
        <v>26</v>
      </c>
      <c r="Q2" s="125"/>
      <c r="R2" s="126" t="s">
        <v>27</v>
      </c>
      <c r="S2" s="125"/>
      <c r="T2" s="126" t="s">
        <v>28</v>
      </c>
      <c r="U2" s="127"/>
      <c r="V2" s="3"/>
      <c r="W2" s="124" t="s">
        <v>29</v>
      </c>
      <c r="X2" s="125"/>
      <c r="Y2" s="126" t="s">
        <v>30</v>
      </c>
      <c r="Z2" s="125"/>
      <c r="AA2" s="126" t="s">
        <v>31</v>
      </c>
      <c r="AB2" s="125"/>
      <c r="AC2" s="126" t="s">
        <v>32</v>
      </c>
      <c r="AD2" s="127"/>
      <c r="AE2" s="3"/>
      <c r="AF2" s="124" t="s">
        <v>33</v>
      </c>
      <c r="AG2" s="125"/>
      <c r="AH2" s="126" t="s">
        <v>34</v>
      </c>
      <c r="AI2" s="125"/>
      <c r="AJ2" s="126" t="s">
        <v>35</v>
      </c>
      <c r="AK2" s="125"/>
      <c r="AL2" s="126" t="s">
        <v>36</v>
      </c>
      <c r="AM2" s="127"/>
      <c r="AN2" s="3"/>
      <c r="AO2" s="142" t="s">
        <v>54</v>
      </c>
      <c r="AP2" s="128" t="s">
        <v>55</v>
      </c>
      <c r="AQ2" s="128" t="s">
        <v>56</v>
      </c>
      <c r="AR2" s="131" t="s">
        <v>57</v>
      </c>
      <c r="AT2" s="117" t="s">
        <v>58</v>
      </c>
      <c r="AU2" s="117"/>
      <c r="AV2" s="117" t="s">
        <v>59</v>
      </c>
      <c r="AW2" s="117"/>
      <c r="AX2" s="117" t="s">
        <v>60</v>
      </c>
      <c r="AY2" s="117"/>
      <c r="AZ2" s="117" t="s">
        <v>61</v>
      </c>
      <c r="BA2" s="117"/>
      <c r="BB2" s="117" t="s">
        <v>62</v>
      </c>
      <c r="BC2" s="117"/>
      <c r="BD2" s="117" t="s">
        <v>63</v>
      </c>
      <c r="BE2" s="117"/>
      <c r="BF2" s="117" t="s">
        <v>64</v>
      </c>
      <c r="BG2" s="117"/>
      <c r="BH2" s="117" t="s">
        <v>65</v>
      </c>
      <c r="BI2" s="117"/>
      <c r="BJ2" s="117" t="s">
        <v>66</v>
      </c>
      <c r="BK2" s="117"/>
      <c r="BL2" s="117" t="s">
        <v>67</v>
      </c>
      <c r="BM2" s="117"/>
      <c r="BN2" s="117" t="s">
        <v>68</v>
      </c>
      <c r="BO2" s="117"/>
      <c r="BP2" s="117" t="s">
        <v>69</v>
      </c>
      <c r="BQ2" s="117"/>
      <c r="BR2" s="117" t="s">
        <v>70</v>
      </c>
      <c r="BS2" s="117"/>
      <c r="BT2" s="117" t="s">
        <v>71</v>
      </c>
      <c r="BU2" s="117"/>
      <c r="BV2" s="117" t="s">
        <v>72</v>
      </c>
      <c r="BW2" s="117"/>
      <c r="BX2" s="117" t="s">
        <v>73</v>
      </c>
      <c r="BY2" s="117"/>
      <c r="BZ2" s="117" t="s">
        <v>74</v>
      </c>
      <c r="CA2" s="117"/>
    </row>
    <row r="3" spans="2:81" ht="51" customHeight="1">
      <c r="B3" s="140"/>
      <c r="C3" s="89"/>
      <c r="D3" s="135"/>
      <c r="E3" s="120" t="s">
        <v>37</v>
      </c>
      <c r="F3" s="122" t="s">
        <v>9</v>
      </c>
      <c r="G3" s="122" t="s">
        <v>37</v>
      </c>
      <c r="H3" s="122" t="s">
        <v>9</v>
      </c>
      <c r="I3" s="122" t="s">
        <v>37</v>
      </c>
      <c r="J3" s="122" t="s">
        <v>9</v>
      </c>
      <c r="K3" s="122" t="s">
        <v>37</v>
      </c>
      <c r="L3" s="118" t="s">
        <v>9</v>
      </c>
      <c r="M3" s="60"/>
      <c r="N3" s="120" t="s">
        <v>37</v>
      </c>
      <c r="O3" s="122" t="s">
        <v>9</v>
      </c>
      <c r="P3" s="122" t="s">
        <v>37</v>
      </c>
      <c r="Q3" s="122" t="s">
        <v>9</v>
      </c>
      <c r="R3" s="122" t="s">
        <v>37</v>
      </c>
      <c r="S3" s="122" t="s">
        <v>9</v>
      </c>
      <c r="T3" s="122" t="s">
        <v>37</v>
      </c>
      <c r="U3" s="118" t="s">
        <v>9</v>
      </c>
      <c r="V3" s="60"/>
      <c r="W3" s="120" t="s">
        <v>37</v>
      </c>
      <c r="X3" s="122" t="s">
        <v>9</v>
      </c>
      <c r="Y3" s="122" t="s">
        <v>37</v>
      </c>
      <c r="Z3" s="122" t="s">
        <v>9</v>
      </c>
      <c r="AA3" s="122" t="s">
        <v>37</v>
      </c>
      <c r="AB3" s="122" t="s">
        <v>9</v>
      </c>
      <c r="AC3" s="122" t="s">
        <v>37</v>
      </c>
      <c r="AD3" s="118" t="s">
        <v>9</v>
      </c>
      <c r="AE3" s="60"/>
      <c r="AF3" s="120" t="s">
        <v>37</v>
      </c>
      <c r="AG3" s="122" t="s">
        <v>9</v>
      </c>
      <c r="AH3" s="122" t="s">
        <v>37</v>
      </c>
      <c r="AI3" s="122" t="s">
        <v>9</v>
      </c>
      <c r="AJ3" s="122" t="s">
        <v>37</v>
      </c>
      <c r="AK3" s="122" t="s">
        <v>9</v>
      </c>
      <c r="AL3" s="122" t="s">
        <v>37</v>
      </c>
      <c r="AM3" s="118" t="s">
        <v>9</v>
      </c>
      <c r="AN3" s="1"/>
      <c r="AO3" s="143"/>
      <c r="AP3" s="129"/>
      <c r="AQ3" s="129"/>
      <c r="AR3" s="132"/>
      <c r="AT3" s="117" t="str">
        <f>P2</f>
        <v>Dev Júnior Frontend</v>
      </c>
      <c r="AU3" s="117"/>
      <c r="AV3" s="117" t="str">
        <f>I2</f>
        <v>Dev Pleno Backend</v>
      </c>
      <c r="AW3" s="117"/>
      <c r="AX3" s="117" t="str">
        <f>R2</f>
        <v>Dev Pleno Frontend</v>
      </c>
      <c r="AY3" s="117"/>
      <c r="AZ3" s="117" t="str">
        <f>I2</f>
        <v>Dev Pleno Backend</v>
      </c>
      <c r="BA3" s="117"/>
      <c r="BB3" s="117" t="str">
        <f>AJ2</f>
        <v>Devops Pleno</v>
      </c>
      <c r="BC3" s="117"/>
      <c r="BD3" s="117" t="str">
        <f>AC2</f>
        <v>Q.A. Sênior</v>
      </c>
      <c r="BE3" s="117"/>
      <c r="BF3" s="117" t="str">
        <f>Y2</f>
        <v>Q.A. Júnior</v>
      </c>
      <c r="BG3" s="117"/>
      <c r="BH3" s="117" t="str">
        <f>K2</f>
        <v>Dev Sênior Backend</v>
      </c>
      <c r="BI3" s="117"/>
      <c r="BJ3" s="117" t="str">
        <f>Y2</f>
        <v>Q.A. Júnior</v>
      </c>
      <c r="BK3" s="117"/>
      <c r="BL3" s="117" t="str">
        <f>Y2</f>
        <v>Q.A. Júnior</v>
      </c>
      <c r="BM3" s="117"/>
      <c r="BN3" s="117" t="str">
        <f>AJ2</f>
        <v>Devops Pleno</v>
      </c>
      <c r="BO3" s="117"/>
      <c r="BP3" s="117" t="str">
        <f>T2</f>
        <v>Dev Sênior Frontend</v>
      </c>
      <c r="BQ3" s="117"/>
      <c r="BR3" s="117" t="str">
        <f>I2</f>
        <v>Dev Pleno Backend</v>
      </c>
      <c r="BS3" s="117"/>
      <c r="BT3" s="117" t="str">
        <f>G2</f>
        <v>Dev Júnior Backend</v>
      </c>
      <c r="BU3" s="117"/>
      <c r="BV3" s="117" t="str">
        <f>G2</f>
        <v>Dev Júnior Backend</v>
      </c>
      <c r="BW3" s="117"/>
      <c r="BX3" s="117" t="str">
        <f>P2</f>
        <v>Dev Júnior Frontend</v>
      </c>
      <c r="BY3" s="117"/>
      <c r="BZ3" s="117" t="str">
        <f>G2</f>
        <v>Dev Júnior Backend</v>
      </c>
      <c r="CA3" s="117"/>
    </row>
    <row r="4" spans="2:81" s="1" customFormat="1" ht="56.25" customHeight="1" thickBot="1">
      <c r="B4" s="141"/>
      <c r="C4" s="138"/>
      <c r="D4" s="136"/>
      <c r="E4" s="121"/>
      <c r="F4" s="123"/>
      <c r="G4" s="123"/>
      <c r="H4" s="123"/>
      <c r="I4" s="123"/>
      <c r="J4" s="123"/>
      <c r="K4" s="123"/>
      <c r="L4" s="119"/>
      <c r="M4" s="59"/>
      <c r="N4" s="121"/>
      <c r="O4" s="123"/>
      <c r="P4" s="123"/>
      <c r="Q4" s="123"/>
      <c r="R4" s="123"/>
      <c r="S4" s="123"/>
      <c r="T4" s="123"/>
      <c r="U4" s="119"/>
      <c r="V4" s="59"/>
      <c r="W4" s="121"/>
      <c r="X4" s="123"/>
      <c r="Y4" s="123"/>
      <c r="Z4" s="123"/>
      <c r="AA4" s="123"/>
      <c r="AB4" s="123"/>
      <c r="AC4" s="123"/>
      <c r="AD4" s="119"/>
      <c r="AE4" s="59"/>
      <c r="AF4" s="121"/>
      <c r="AG4" s="123"/>
      <c r="AH4" s="123"/>
      <c r="AI4" s="123"/>
      <c r="AJ4" s="123"/>
      <c r="AK4" s="123"/>
      <c r="AL4" s="123"/>
      <c r="AM4" s="119"/>
      <c r="AO4" s="144"/>
      <c r="AP4" s="130"/>
      <c r="AQ4" s="130"/>
      <c r="AR4" s="133"/>
      <c r="AS4" s="8"/>
      <c r="AT4" s="15" t="s">
        <v>75</v>
      </c>
      <c r="AU4" s="15" t="s">
        <v>76</v>
      </c>
      <c r="AV4" s="15" t="s">
        <v>75</v>
      </c>
      <c r="AW4" s="15" t="s">
        <v>76</v>
      </c>
      <c r="AX4" s="15" t="s">
        <v>75</v>
      </c>
      <c r="AY4" s="15" t="s">
        <v>76</v>
      </c>
      <c r="AZ4" s="15" t="s">
        <v>75</v>
      </c>
      <c r="BA4" s="15" t="s">
        <v>76</v>
      </c>
      <c r="BB4" s="15" t="s">
        <v>75</v>
      </c>
      <c r="BC4" s="15" t="s">
        <v>76</v>
      </c>
      <c r="BD4" s="15" t="s">
        <v>75</v>
      </c>
      <c r="BE4" s="15" t="s">
        <v>76</v>
      </c>
      <c r="BF4" s="15" t="s">
        <v>75</v>
      </c>
      <c r="BG4" s="15" t="s">
        <v>76</v>
      </c>
      <c r="BH4" s="15" t="s">
        <v>75</v>
      </c>
      <c r="BI4" s="15" t="s">
        <v>76</v>
      </c>
      <c r="BJ4" s="15" t="s">
        <v>75</v>
      </c>
      <c r="BK4" s="15" t="s">
        <v>76</v>
      </c>
      <c r="BL4" s="15" t="s">
        <v>75</v>
      </c>
      <c r="BM4" s="15" t="s">
        <v>76</v>
      </c>
      <c r="BN4" s="15" t="s">
        <v>75</v>
      </c>
      <c r="BO4" s="15" t="s">
        <v>76</v>
      </c>
      <c r="BP4" s="15" t="s">
        <v>75</v>
      </c>
      <c r="BQ4" s="15" t="s">
        <v>76</v>
      </c>
      <c r="BR4" s="15" t="s">
        <v>75</v>
      </c>
      <c r="BS4" s="15" t="s">
        <v>76</v>
      </c>
      <c r="BT4" s="15" t="s">
        <v>75</v>
      </c>
      <c r="BU4" s="15" t="s">
        <v>76</v>
      </c>
      <c r="BV4" s="15" t="s">
        <v>75</v>
      </c>
      <c r="BW4" s="15" t="s">
        <v>76</v>
      </c>
      <c r="BX4" s="15" t="s">
        <v>75</v>
      </c>
      <c r="BY4" s="15" t="s">
        <v>76</v>
      </c>
      <c r="BZ4" s="15" t="s">
        <v>75</v>
      </c>
      <c r="CA4" s="15" t="s">
        <v>76</v>
      </c>
      <c r="CB4" s="8"/>
      <c r="CC4" s="8"/>
    </row>
    <row r="5" spans="2:81">
      <c r="B5" s="55" t="s">
        <v>77</v>
      </c>
      <c r="C5" s="56" t="s">
        <v>78</v>
      </c>
      <c r="D5" s="57" t="s">
        <v>79</v>
      </c>
      <c r="E5" s="6" t="s">
        <v>3</v>
      </c>
      <c r="F5" s="4">
        <v>0</v>
      </c>
      <c r="G5" s="4" t="s">
        <v>5</v>
      </c>
      <c r="H5" s="4">
        <v>1</v>
      </c>
      <c r="I5" s="4" t="s">
        <v>7</v>
      </c>
      <c r="J5" s="4">
        <v>1</v>
      </c>
      <c r="K5" s="4" t="s">
        <v>7</v>
      </c>
      <c r="L5" s="5">
        <v>1</v>
      </c>
      <c r="M5" s="7"/>
      <c r="N5" s="6" t="s">
        <v>17</v>
      </c>
      <c r="O5" s="4" t="s">
        <v>17</v>
      </c>
      <c r="P5" s="4" t="s">
        <v>17</v>
      </c>
      <c r="Q5" s="4" t="s">
        <v>17</v>
      </c>
      <c r="R5" s="4" t="s">
        <v>3</v>
      </c>
      <c r="S5" s="4">
        <v>1</v>
      </c>
      <c r="T5" s="4" t="s">
        <v>5</v>
      </c>
      <c r="U5" s="5">
        <v>1</v>
      </c>
      <c r="V5" s="7"/>
      <c r="W5" s="17" t="s">
        <v>17</v>
      </c>
      <c r="X5" s="16" t="s">
        <v>17</v>
      </c>
      <c r="Y5" s="16" t="s">
        <v>17</v>
      </c>
      <c r="Z5" s="16" t="s">
        <v>17</v>
      </c>
      <c r="AA5" s="16" t="s">
        <v>17</v>
      </c>
      <c r="AB5" s="16" t="s">
        <v>17</v>
      </c>
      <c r="AC5" s="16" t="s">
        <v>17</v>
      </c>
      <c r="AD5" s="14" t="s">
        <v>17</v>
      </c>
      <c r="AE5" s="7"/>
      <c r="AF5" s="17" t="s">
        <v>17</v>
      </c>
      <c r="AG5" s="16" t="s">
        <v>17</v>
      </c>
      <c r="AH5" s="16" t="s">
        <v>17</v>
      </c>
      <c r="AI5" s="16" t="s">
        <v>17</v>
      </c>
      <c r="AJ5" s="16" t="s">
        <v>17</v>
      </c>
      <c r="AK5" s="16" t="s">
        <v>17</v>
      </c>
      <c r="AL5" s="16" t="s">
        <v>17</v>
      </c>
      <c r="AM5" s="14" t="s">
        <v>17</v>
      </c>
      <c r="AN5" s="7"/>
      <c r="AO5" s="17" t="s">
        <v>13</v>
      </c>
      <c r="AP5" s="16" t="s">
        <v>13</v>
      </c>
      <c r="AQ5" s="16" t="s">
        <v>15</v>
      </c>
      <c r="AR5" s="14" t="s">
        <v>15</v>
      </c>
      <c r="AT5" s="4" t="s">
        <v>5</v>
      </c>
      <c r="AU5" s="4" t="str">
        <f>IF($P5="N", "N",
    IF($B5="Não", "Sim",
        IF(OR(
            AT5=$P5,
            AND($P5="B", OR(AT5="B", AT5="P", AT5="O")),
            AND($P5="P", OR(AT5="P", AT5="O")),
            AND($P5="O", AT5="O")), "Sim", "Não")
    )
)</f>
        <v>N</v>
      </c>
      <c r="AV5" s="4" t="s">
        <v>7</v>
      </c>
      <c r="AW5" s="4" t="str">
        <f>IF($I5="N", "N",
    IF($B5="Não", "Sim",
        IF(OR(
            AV5=$I5,
            AND($I5="B", OR(AV5="B", AV5="P", AV5="O")),
            AND($I5="P", OR(AV5="P", AV5="O")),
            AND($I5="O", AV5="O")), "Sim", "Não")
    )
)</f>
        <v>Sim</v>
      </c>
      <c r="AX5" s="4" t="s">
        <v>3</v>
      </c>
      <c r="AY5" s="4" t="str">
        <f>IF($R5="N", "N",
    IF($B5="Não", "Sim",
        IF(OR(
            AX5=$R5,
            AND($R5="B", OR(AX5="B", AX5="P", AX5="O")),
            AND($R5="P", OR(AX5="P", AX5="O")),
            AND($R5="O", AX5="O")), "Sim", "Não")
    )
)</f>
        <v>Sim</v>
      </c>
      <c r="AZ5" s="4" t="s">
        <v>3</v>
      </c>
      <c r="BA5" s="4" t="str">
        <f>IF($I5="N", "N",
    IF($B5="Não", "Sim",
        IF(OR(
            AZ5=$I5,
            AND($I5="B", OR(AZ5="B", AZ5="P", AZ5="O")),
            AND($I5="P", OR(AZ5="P", AZ5="O")),
            AND($I5="O", AZ5="O")), "Sim", "Não")
    )
)</f>
        <v>Sim</v>
      </c>
      <c r="BB5" s="4" t="s">
        <v>17</v>
      </c>
      <c r="BC5" s="4" t="str">
        <f>IF($AJ5="N", "N",
    IF($B5="Não", "Sim",
        IF(OR(
            BB5=$AJ5,
            AND($AJ5="B", OR(BB5="B", BB5="P", BB5="O")),
            AND($AJ5="P", OR(BB5="P", BB5="O")),
            AND($AJ5="O", BB5="O")), "Sim", "Não")
    )
)</f>
        <v>N</v>
      </c>
      <c r="BD5" s="4" t="s">
        <v>17</v>
      </c>
      <c r="BE5" s="4" t="str">
        <f>IF($AC5="N", "N",
    IF($B5="Não", "Sim",
        IF(OR(
            BD5=$AC5,
            AND($AC5="B", OR(BD5="B", BD5="P", BD5="O")),
            AND($AC5="P", OR(BD5="P", BD5="O")),
            AND($AC5="O", BD5="O")), "Sim", "Não")
    )
)</f>
        <v>N</v>
      </c>
      <c r="BF5" s="4" t="s">
        <v>17</v>
      </c>
      <c r="BG5" s="4" t="str">
        <f>IF($Y5="N", "N",
    IF($B5="Não", "Sim",
        IF(OR(
            BF5=$Y5,
            AND($Y5="B", OR(BF5="B", BF5="P", BF5="O")),
            AND($Y5="P", OR(BF5="P", BF5="O")),
            AND($Y5="O", BF5="O")), "Sim", "Não")
    )
)</f>
        <v>N</v>
      </c>
      <c r="BH5" s="4" t="s">
        <v>7</v>
      </c>
      <c r="BI5" s="4" t="str">
        <f>IF($K5="N", "N",
    IF($B5="Não", "Sim",
        IF(OR(
            BH5=$K5,
            AND($K5="B", OR(BH5="B", BH5="P", BH5="O")),
            AND($K5="P", OR(BH5="P", BH5="O")),
            AND($K5="O", BH5="O")), "Sim", "Não")
    )
)</f>
        <v>Sim</v>
      </c>
      <c r="BJ5" s="4" t="s">
        <v>17</v>
      </c>
      <c r="BK5" s="4" t="str">
        <f>IF($Y5="N", "N",
    IF($B5="Não", "Sim",
        IF(OR(
            BJ5=$Y5,
            AND($Y5="B", OR(BJ5="B", BJ5="P", BJ5="O")),
            AND($Y5="P", OR(BJ5="P", BJ5="O")),
            AND($Y5="O", BJ5="O")), "Sim", "Não")
    )
)</f>
        <v>N</v>
      </c>
      <c r="BL5" s="4" t="s">
        <v>17</v>
      </c>
      <c r="BM5" s="4" t="str">
        <f>IF($Y5="N", "N",
    IF($B5="Não", "Sim",
        IF(OR(
            BL5=$Y5,
            AND($Y5="B", OR(BL5="B", BL5="P", BL5="O")),
            AND($Y5="P", OR(BL5="P", BL5="O")),
            AND($Y5="O", BL5="O")), "Sim", "Não")
    )
)</f>
        <v>N</v>
      </c>
      <c r="BN5" s="4" t="s">
        <v>17</v>
      </c>
      <c r="BO5" s="4" t="str">
        <f>IF($AJ5="N", "N",
    IF($B5="Não", "Sim",
        IF(OR(
            BN5=$AJ5,
            AND($AJ5="B", OR(BN5="B", BN5="P", BN5="O")),
            AND($AJ5="P", OR(BN5="P", BN5="O")),
            AND($AJ5="O", BN5="O")), "Sim", "Não")
    )
)</f>
        <v>N</v>
      </c>
      <c r="BP5" s="4" t="s">
        <v>5</v>
      </c>
      <c r="BQ5" s="4" t="str">
        <f>IF($T5="N", "N",
    IF($B5="Não", "Sim",
        IF(OR(
            BP5=$T5,
            AND($T5="B", OR(BP5="B", BP5="P", BP5="O")),
            AND($T5="P", OR(BP5="P", BP5="O")),
            AND($T5="O", BP5="O")), "Sim", "Não")
    )
)</f>
        <v>Sim</v>
      </c>
      <c r="BR5" s="4" t="s">
        <v>7</v>
      </c>
      <c r="BS5" s="4" t="str">
        <f>IF($I5="N", "N",
    IF($B5="Não", "Sim",
        IF(OR(
            BR5=$I5,
            AND($I5="B", OR(BR5="B", BR5="P", BR5="O")),
            AND($I5="P", OR(BR5="P", BR5="O")),
            AND($I5="O", BR5="O")), "Sim", "Não")
    )
)</f>
        <v>Sim</v>
      </c>
      <c r="BT5" s="4" t="s">
        <v>5</v>
      </c>
      <c r="BU5" s="4" t="str">
        <f>IF($G5="N", "N",
    IF($B5="Não", "Sim",
        IF(OR(
            BT5=$G5,
            AND($G5="B", OR(BT5="B", BT5="P", BT5="O")),
            AND($G5="P", OR(BT5="P", BT5="O")),
            AND($G5="O", BT5="O")), "Sim", "Não")
    )
)</f>
        <v>Sim</v>
      </c>
      <c r="BV5" s="4" t="s">
        <v>3</v>
      </c>
      <c r="BW5" s="4" t="str">
        <f>IF($G5="N", "N",
    IF($B5="Não", "Sim",
        IF(OR(
            BV5=$G5,
            AND($G5="B", OR(BV5="B", BV5="P", BV5="O")),
            AND($G5="P", OR(BV5="P", BV5="O")),
            AND($G5="O", BV5="O")), "Sim", "Não")
    )
)</f>
        <v>Sim</v>
      </c>
      <c r="BX5" s="4" t="s">
        <v>5</v>
      </c>
      <c r="BY5" s="4" t="str">
        <f>IF($P5="N", "N",
    IF($B5="Não", "Sim",
        IF(OR(
            BX5=$P5,
            AND($P5="B", OR(BX5="B", BX5="P", BX5="O")),
            AND($P5="P", OR(BX5="P", BX5="O")),
            AND($P5="O", BX5="O")), "Sim", "Não")
    )
)</f>
        <v>N</v>
      </c>
      <c r="BZ5" s="4" t="s">
        <v>3</v>
      </c>
      <c r="CA5" s="4" t="str">
        <f>IF($G5="N", "N",
    IF($B5="Não", "Sim",
        IF(OR(
            BZ5=$G5,
            AND($G5="B", OR(BZ5="B", BZ5="P", BZ5="O")),
            AND($G5="P", OR(BZ5="P", BZ5="O")),
            AND($G5="O", BZ5="O")), "Sim", "Não")
    )
)</f>
        <v>Sim</v>
      </c>
    </row>
    <row r="6" spans="2:81">
      <c r="B6" s="46" t="s">
        <v>77</v>
      </c>
      <c r="C6" s="13" t="s">
        <v>78</v>
      </c>
      <c r="D6" s="54" t="s">
        <v>80</v>
      </c>
      <c r="E6" s="6" t="s">
        <v>3</v>
      </c>
      <c r="F6" s="4">
        <v>0</v>
      </c>
      <c r="G6" s="4" t="s">
        <v>3</v>
      </c>
      <c r="H6" s="4">
        <v>0</v>
      </c>
      <c r="I6" s="4" t="s">
        <v>3</v>
      </c>
      <c r="J6" s="4">
        <v>0</v>
      </c>
      <c r="K6" s="4" t="s">
        <v>5</v>
      </c>
      <c r="L6" s="5">
        <v>1</v>
      </c>
      <c r="M6" s="7"/>
      <c r="N6" s="6" t="s">
        <v>17</v>
      </c>
      <c r="O6" s="4" t="s">
        <v>17</v>
      </c>
      <c r="P6" s="4" t="s">
        <v>17</v>
      </c>
      <c r="Q6" s="4" t="s">
        <v>17</v>
      </c>
      <c r="R6" s="4" t="s">
        <v>3</v>
      </c>
      <c r="S6" s="4">
        <v>0</v>
      </c>
      <c r="T6" s="4" t="s">
        <v>5</v>
      </c>
      <c r="U6" s="5">
        <v>1</v>
      </c>
      <c r="V6" s="7"/>
      <c r="W6" s="6" t="s">
        <v>17</v>
      </c>
      <c r="X6" s="4" t="s">
        <v>17</v>
      </c>
      <c r="Y6" s="4" t="s">
        <v>17</v>
      </c>
      <c r="Z6" s="4" t="s">
        <v>17</v>
      </c>
      <c r="AA6" s="4" t="s">
        <v>17</v>
      </c>
      <c r="AB6" s="4" t="s">
        <v>17</v>
      </c>
      <c r="AC6" s="4" t="s">
        <v>17</v>
      </c>
      <c r="AD6" s="5" t="s">
        <v>17</v>
      </c>
      <c r="AE6" s="7"/>
      <c r="AF6" s="6" t="s">
        <v>17</v>
      </c>
      <c r="AG6" s="4" t="s">
        <v>17</v>
      </c>
      <c r="AH6" s="4" t="s">
        <v>17</v>
      </c>
      <c r="AI6" s="4" t="s">
        <v>17</v>
      </c>
      <c r="AJ6" s="4" t="s">
        <v>17</v>
      </c>
      <c r="AK6" s="4" t="s">
        <v>17</v>
      </c>
      <c r="AL6" s="4" t="s">
        <v>17</v>
      </c>
      <c r="AM6" s="5" t="s">
        <v>17</v>
      </c>
      <c r="AN6" s="7"/>
      <c r="AO6" s="6" t="s">
        <v>13</v>
      </c>
      <c r="AP6" s="4" t="s">
        <v>13</v>
      </c>
      <c r="AQ6" s="4" t="s">
        <v>15</v>
      </c>
      <c r="AR6" s="5" t="s">
        <v>15</v>
      </c>
      <c r="AT6" s="4" t="s">
        <v>5</v>
      </c>
      <c r="AU6" s="4" t="str">
        <f t="shared" ref="AU6:AU67" si="0">IF($P6="N", "N",
    IF($B6="Não", "Sim",
        IF(OR(
            AT6=$P6,
            AND($P6="B", OR(AT6="B", AT6="P", AT6="O")),
            AND($P6="P", OR(AT6="P", AT6="O")),
            AND($P6="O", AT6="O")), "Sim", "Não")
    )
)</f>
        <v>N</v>
      </c>
      <c r="AV6" s="4" t="s">
        <v>7</v>
      </c>
      <c r="AW6" s="4" t="str">
        <f t="shared" ref="AW6:AW67" si="1">IF($I6="N", "N",
    IF($B6="Não", "Sim",
        IF(OR(
            AV6=$I6,
            AND($I6="B", OR(AV6="B", AV6="P", AV6="O")),
            AND($I6="P", OR(AV6="P", AV6="O")),
            AND($I6="O", AV6="O")), "Sim", "Não")
    )
)</f>
        <v>Sim</v>
      </c>
      <c r="AX6" s="4" t="s">
        <v>3</v>
      </c>
      <c r="AY6" s="4" t="str">
        <f t="shared" ref="AY6:AY67" si="2">IF($R6="N", "N",
    IF($B6="Não", "Sim",
        IF(OR(
            AX6=$R6,
            AND($R6="B", OR(AX6="B", AX6="P", AX6="O")),
            AND($R6="P", OR(AX6="P", AX6="O")),
            AND($R6="O", AX6="O")), "Sim", "Não")
    )
)</f>
        <v>Sim</v>
      </c>
      <c r="AZ6" s="4" t="s">
        <v>3</v>
      </c>
      <c r="BA6" s="4" t="str">
        <f t="shared" ref="BA6:BA67" si="3">IF($I6="N", "N",
    IF($B6="Não", "Sim",
        IF(OR(
            AZ6=$I6,
            AND($I6="B", OR(AZ6="B", AZ6="P", AZ6="O")),
            AND($I6="P", OR(AZ6="P", AZ6="O")),
            AND($I6="O", AZ6="O")), "Sim", "Não")
    )
)</f>
        <v>Sim</v>
      </c>
      <c r="BB6" s="4" t="s">
        <v>17</v>
      </c>
      <c r="BC6" s="4" t="str">
        <f t="shared" ref="BC6:BC67" si="4">IF($AJ6="N", "N",
    IF($B6="Não", "Sim",
        IF(OR(
            BB6=$AJ6,
            AND($AJ6="B", OR(BB6="B", BB6="P", BB6="O")),
            AND($AJ6="P", OR(BB6="P", BB6="O")),
            AND($AJ6="O", BB6="O")), "Sim", "Não")
    )
)</f>
        <v>N</v>
      </c>
      <c r="BD6" s="4" t="s">
        <v>17</v>
      </c>
      <c r="BE6" s="4" t="str">
        <f t="shared" ref="BE6:BE67" si="5">IF($AC6="N", "N",
    IF($B6="Não", "Sim",
        IF(OR(
            BD6=$AC6,
            AND($AC6="B", OR(BD6="B", BD6="P", BD6="O")),
            AND($AC6="P", OR(BD6="P", BD6="O")),
            AND($AC6="O", BD6="O")), "Sim", "Não")
    )
)</f>
        <v>N</v>
      </c>
      <c r="BF6" s="4" t="s">
        <v>17</v>
      </c>
      <c r="BG6" s="4" t="str">
        <f t="shared" ref="BG6:BG67" si="6">IF($Y6="N", "N",
    IF($B6="Não", "Sim",
        IF(OR(
            BF6=$Y6,
            AND($Y6="B", OR(BF6="B", BF6="P", BF6="O")),
            AND($Y6="P", OR(BF6="P", BF6="O")),
            AND($Y6="O", BF6="O")), "Sim", "Não")
    )
)</f>
        <v>N</v>
      </c>
      <c r="BH6" s="4" t="s">
        <v>5</v>
      </c>
      <c r="BI6" s="4" t="str">
        <f t="shared" ref="BI6:BI67" si="7">IF($K6="N", "N",
    IF($B6="Não", "Sim",
        IF(OR(
            BH6=$K6,
            AND($K6="B", OR(BH6="B", BH6="P", BH6="O")),
            AND($K6="P", OR(BH6="P", BH6="O")),
            AND($K6="O", BH6="O")), "Sim", "Não")
    )
)</f>
        <v>Sim</v>
      </c>
      <c r="BJ6" s="4" t="s">
        <v>17</v>
      </c>
      <c r="BK6" s="4" t="str">
        <f t="shared" ref="BK6:BK67" si="8">IF($Y6="N", "N",
    IF($B6="Não", "Sim",
        IF(OR(
            BJ6=$Y6,
            AND($Y6="B", OR(BJ6="B", BJ6="P", BJ6="O")),
            AND($Y6="P", OR(BJ6="P", BJ6="O")),
            AND($Y6="O", BJ6="O")), "Sim", "Não")
    )
)</f>
        <v>N</v>
      </c>
      <c r="BL6" s="4" t="s">
        <v>17</v>
      </c>
      <c r="BM6" s="4" t="str">
        <f t="shared" ref="BM6:BM67" si="9">IF($Y6="N", "N",
    IF($B6="Não", "Sim",
        IF(OR(
            BL6=$Y6,
            AND($Y6="B", OR(BL6="B", BL6="P", BL6="O")),
            AND($Y6="P", OR(BL6="P", BL6="O")),
            AND($Y6="O", BL6="O")), "Sim", "Não")
    )
)</f>
        <v>N</v>
      </c>
      <c r="BN6" s="4" t="s">
        <v>17</v>
      </c>
      <c r="BO6" s="4" t="str">
        <f t="shared" ref="BO6:BO67" si="10">IF($AJ6="N", "N",
    IF($B6="Não", "Sim",
        IF(OR(
            BN6=$AJ6,
            AND($AJ6="B", OR(BN6="B", BN6="P", BN6="O")),
            AND($AJ6="P", OR(BN6="P", BN6="O")),
            AND($AJ6="O", BN6="O")), "Sim", "Não")
    )
)</f>
        <v>N</v>
      </c>
      <c r="BP6" s="4" t="s">
        <v>5</v>
      </c>
      <c r="BQ6" s="4" t="str">
        <f t="shared" ref="BQ6:BQ67" si="11">IF($T6="N", "N",
    IF($B6="Não", "Sim",
        IF(OR(
            BP6=$T6,
            AND($T6="B", OR(BP6="B", BP6="P", BP6="O")),
            AND($T6="P", OR(BP6="P", BP6="O")),
            AND($T6="O", BP6="O")), "Sim", "Não")
    )
)</f>
        <v>Sim</v>
      </c>
      <c r="BR6" s="4" t="s">
        <v>5</v>
      </c>
      <c r="BS6" s="4" t="str">
        <f t="shared" ref="BS6:BS67" si="12">IF($I6="N", "N",
    IF($B6="Não", "Sim",
        IF(OR(
            BR6=$I6,
            AND($I6="B", OR(BR6="B", BR6="P", BR6="O")),
            AND($I6="P", OR(BR6="P", BR6="O")),
            AND($I6="O", BR6="O")), "Sim", "Não")
    )
)</f>
        <v>Sim</v>
      </c>
      <c r="BT6" s="4" t="s">
        <v>5</v>
      </c>
      <c r="BU6" s="4" t="str">
        <f t="shared" ref="BU6:BU67" si="13">IF($G6="N", "N",
    IF($B6="Não", "Sim",
        IF(OR(
            BT6=$G6,
            AND($G6="B", OR(BT6="B", BT6="P", BT6="O")),
            AND($G6="P", OR(BT6="P", BT6="O")),
            AND($G6="O", BT6="O")), "Sim", "Não")
    )
)</f>
        <v>Sim</v>
      </c>
      <c r="BV6" s="4" t="s">
        <v>5</v>
      </c>
      <c r="BW6" s="4" t="str">
        <f t="shared" ref="BW6:BW67" si="14">IF($G6="N", "N",
    IF($B6="Não", "Sim",
        IF(OR(
            BV6=$G6,
            AND($G6="B", OR(BV6="B", BV6="P", BV6="O")),
            AND($G6="P", OR(BV6="P", BV6="O")),
            AND($G6="O", BV6="O")), "Sim", "Não")
    )
)</f>
        <v>Sim</v>
      </c>
      <c r="BX6" s="4" t="s">
        <v>5</v>
      </c>
      <c r="BY6" s="4" t="str">
        <f t="shared" ref="BY6:BY67" si="15">IF($P6="N", "N",
    IF($B6="Não", "Sim",
        IF(OR(
            BX6=$P6,
            AND($P6="B", OR(BX6="B", BX6="P", BX6="O")),
            AND($P6="P", OR(BX6="P", BX6="O")),
            AND($P6="O", BX6="O")), "Sim", "Não")
    )
)</f>
        <v>N</v>
      </c>
      <c r="BZ6" s="4" t="s">
        <v>5</v>
      </c>
      <c r="CA6" s="4" t="str">
        <f t="shared" ref="CA6:CA67" si="16">IF($G6="N", "N",
    IF($B6="Não", "Sim",
        IF(OR(
            BZ6=$G6,
            AND($G6="B", OR(BZ6="B", BZ6="P", BZ6="O")),
            AND($G6="P", OR(BZ6="P", BZ6="O")),
            AND($G6="O", BZ6="O")), "Sim", "Não")
    )
)</f>
        <v>Sim</v>
      </c>
    </row>
    <row r="7" spans="2:81">
      <c r="B7" s="45" t="s">
        <v>77</v>
      </c>
      <c r="C7" s="44" t="s">
        <v>78</v>
      </c>
      <c r="D7" s="53" t="s">
        <v>81</v>
      </c>
      <c r="E7" s="6" t="s">
        <v>3</v>
      </c>
      <c r="F7" s="4">
        <v>0</v>
      </c>
      <c r="G7" s="4" t="s">
        <v>3</v>
      </c>
      <c r="H7" s="4">
        <v>0</v>
      </c>
      <c r="I7" s="4" t="s">
        <v>5</v>
      </c>
      <c r="J7" s="4">
        <v>1</v>
      </c>
      <c r="K7" s="4" t="s">
        <v>7</v>
      </c>
      <c r="L7" s="5">
        <v>1</v>
      </c>
      <c r="M7" s="7"/>
      <c r="N7" s="6" t="s">
        <v>17</v>
      </c>
      <c r="O7" s="4" t="s">
        <v>17</v>
      </c>
      <c r="P7" s="4" t="s">
        <v>17</v>
      </c>
      <c r="Q7" s="4" t="s">
        <v>17</v>
      </c>
      <c r="R7" s="4" t="s">
        <v>3</v>
      </c>
      <c r="S7" s="4">
        <v>1</v>
      </c>
      <c r="T7" s="4" t="s">
        <v>5</v>
      </c>
      <c r="U7" s="5">
        <v>1</v>
      </c>
      <c r="V7" s="7"/>
      <c r="W7" s="6" t="s">
        <v>17</v>
      </c>
      <c r="X7" s="4" t="s">
        <v>17</v>
      </c>
      <c r="Y7" s="4" t="s">
        <v>17</v>
      </c>
      <c r="Z7" s="4" t="s">
        <v>17</v>
      </c>
      <c r="AA7" s="4" t="s">
        <v>17</v>
      </c>
      <c r="AB7" s="4" t="s">
        <v>17</v>
      </c>
      <c r="AC7" s="4" t="s">
        <v>17</v>
      </c>
      <c r="AD7" s="5" t="s">
        <v>17</v>
      </c>
      <c r="AE7" s="7"/>
      <c r="AF7" s="6" t="s">
        <v>17</v>
      </c>
      <c r="AG7" s="4" t="s">
        <v>17</v>
      </c>
      <c r="AH7" s="4" t="s">
        <v>17</v>
      </c>
      <c r="AI7" s="4" t="s">
        <v>17</v>
      </c>
      <c r="AJ7" s="4" t="s">
        <v>17</v>
      </c>
      <c r="AK7" s="4" t="s">
        <v>17</v>
      </c>
      <c r="AL7" s="4" t="s">
        <v>17</v>
      </c>
      <c r="AM7" s="5" t="s">
        <v>17</v>
      </c>
      <c r="AN7" s="7"/>
      <c r="AO7" s="6" t="s">
        <v>13</v>
      </c>
      <c r="AP7" s="4" t="s">
        <v>13</v>
      </c>
      <c r="AQ7" s="4" t="s">
        <v>15</v>
      </c>
      <c r="AR7" s="5" t="s">
        <v>15</v>
      </c>
      <c r="AT7" s="4" t="s">
        <v>5</v>
      </c>
      <c r="AU7" s="4" t="str">
        <f t="shared" si="0"/>
        <v>N</v>
      </c>
      <c r="AV7" s="4" t="s">
        <v>5</v>
      </c>
      <c r="AW7" s="4" t="str">
        <f t="shared" si="1"/>
        <v>Sim</v>
      </c>
      <c r="AX7" s="4" t="s">
        <v>5</v>
      </c>
      <c r="AY7" s="4" t="str">
        <f t="shared" si="2"/>
        <v>Sim</v>
      </c>
      <c r="AZ7" s="4" t="s">
        <v>5</v>
      </c>
      <c r="BA7" s="4" t="str">
        <f t="shared" si="3"/>
        <v>Sim</v>
      </c>
      <c r="BB7" s="4" t="s">
        <v>17</v>
      </c>
      <c r="BC7" s="4" t="str">
        <f t="shared" si="4"/>
        <v>N</v>
      </c>
      <c r="BD7" s="4" t="s">
        <v>17</v>
      </c>
      <c r="BE7" s="4" t="str">
        <f t="shared" si="5"/>
        <v>N</v>
      </c>
      <c r="BF7" s="4" t="s">
        <v>17</v>
      </c>
      <c r="BG7" s="4" t="str">
        <f t="shared" si="6"/>
        <v>N</v>
      </c>
      <c r="BH7" s="4" t="s">
        <v>7</v>
      </c>
      <c r="BI7" s="4" t="str">
        <f t="shared" si="7"/>
        <v>Sim</v>
      </c>
      <c r="BJ7" s="4" t="s">
        <v>17</v>
      </c>
      <c r="BK7" s="4" t="str">
        <f t="shared" si="8"/>
        <v>N</v>
      </c>
      <c r="BL7" s="4" t="s">
        <v>17</v>
      </c>
      <c r="BM7" s="4" t="str">
        <f t="shared" si="9"/>
        <v>N</v>
      </c>
      <c r="BN7" s="4" t="s">
        <v>17</v>
      </c>
      <c r="BO7" s="4" t="str">
        <f t="shared" si="10"/>
        <v>N</v>
      </c>
      <c r="BP7" s="4" t="s">
        <v>5</v>
      </c>
      <c r="BQ7" s="4" t="str">
        <f t="shared" si="11"/>
        <v>Sim</v>
      </c>
      <c r="BR7" s="4" t="s">
        <v>7</v>
      </c>
      <c r="BS7" s="4" t="str">
        <f t="shared" si="12"/>
        <v>Sim</v>
      </c>
      <c r="BT7" s="4" t="s">
        <v>3</v>
      </c>
      <c r="BU7" s="4" t="str">
        <f t="shared" si="13"/>
        <v>Sim</v>
      </c>
      <c r="BV7" s="4" t="s">
        <v>3</v>
      </c>
      <c r="BW7" s="4" t="str">
        <f t="shared" si="14"/>
        <v>Sim</v>
      </c>
      <c r="BX7" s="4" t="s">
        <v>5</v>
      </c>
      <c r="BY7" s="4" t="str">
        <f t="shared" si="15"/>
        <v>N</v>
      </c>
      <c r="BZ7" s="4" t="s">
        <v>5</v>
      </c>
      <c r="CA7" s="4" t="str">
        <f t="shared" si="16"/>
        <v>Sim</v>
      </c>
    </row>
    <row r="8" spans="2:81">
      <c r="B8" s="46" t="s">
        <v>77</v>
      </c>
      <c r="C8" s="13" t="s">
        <v>78</v>
      </c>
      <c r="D8" s="54" t="s">
        <v>82</v>
      </c>
      <c r="E8" s="6" t="s">
        <v>3</v>
      </c>
      <c r="F8" s="4">
        <v>0</v>
      </c>
      <c r="G8" s="4" t="s">
        <v>3</v>
      </c>
      <c r="H8" s="4">
        <v>0</v>
      </c>
      <c r="I8" s="4" t="s">
        <v>5</v>
      </c>
      <c r="J8" s="4">
        <v>1</v>
      </c>
      <c r="K8" s="4" t="s">
        <v>7</v>
      </c>
      <c r="L8" s="5">
        <v>1</v>
      </c>
      <c r="M8" s="7"/>
      <c r="N8" s="6" t="s">
        <v>3</v>
      </c>
      <c r="O8" s="4">
        <v>0</v>
      </c>
      <c r="P8" s="4" t="s">
        <v>3</v>
      </c>
      <c r="Q8" s="4">
        <v>0</v>
      </c>
      <c r="R8" s="4" t="s">
        <v>5</v>
      </c>
      <c r="S8" s="4">
        <v>1</v>
      </c>
      <c r="T8" s="4" t="s">
        <v>7</v>
      </c>
      <c r="U8" s="5">
        <v>1</v>
      </c>
      <c r="V8" s="7"/>
      <c r="W8" s="6" t="s">
        <v>17</v>
      </c>
      <c r="X8" s="4" t="s">
        <v>17</v>
      </c>
      <c r="Y8" s="4" t="s">
        <v>17</v>
      </c>
      <c r="Z8" s="4" t="s">
        <v>17</v>
      </c>
      <c r="AA8" s="4" t="s">
        <v>17</v>
      </c>
      <c r="AB8" s="4" t="s">
        <v>17</v>
      </c>
      <c r="AC8" s="4" t="s">
        <v>17</v>
      </c>
      <c r="AD8" s="5" t="s">
        <v>17</v>
      </c>
      <c r="AE8" s="7"/>
      <c r="AF8" s="6" t="s">
        <v>17</v>
      </c>
      <c r="AG8" s="4" t="s">
        <v>17</v>
      </c>
      <c r="AH8" s="4" t="s">
        <v>17</v>
      </c>
      <c r="AI8" s="4" t="s">
        <v>17</v>
      </c>
      <c r="AJ8" s="4" t="s">
        <v>17</v>
      </c>
      <c r="AK8" s="4" t="s">
        <v>17</v>
      </c>
      <c r="AL8" s="4" t="s">
        <v>17</v>
      </c>
      <c r="AM8" s="5" t="s">
        <v>17</v>
      </c>
      <c r="AN8" s="7"/>
      <c r="AO8" s="6" t="s">
        <v>13</v>
      </c>
      <c r="AP8" s="4" t="s">
        <v>13</v>
      </c>
      <c r="AQ8" s="4" t="s">
        <v>15</v>
      </c>
      <c r="AR8" s="5" t="s">
        <v>15</v>
      </c>
      <c r="AT8" s="4" t="s">
        <v>5</v>
      </c>
      <c r="AU8" s="4" t="str">
        <f t="shared" si="0"/>
        <v>Sim</v>
      </c>
      <c r="AV8" s="4" t="s">
        <v>5</v>
      </c>
      <c r="AW8" s="4" t="str">
        <f t="shared" si="1"/>
        <v>Sim</v>
      </c>
      <c r="AX8" s="4" t="s">
        <v>5</v>
      </c>
      <c r="AY8" s="4" t="str">
        <f t="shared" si="2"/>
        <v>Sim</v>
      </c>
      <c r="AZ8" s="4" t="s">
        <v>3</v>
      </c>
      <c r="BA8" s="4" t="str">
        <f t="shared" si="3"/>
        <v>Sim</v>
      </c>
      <c r="BB8" s="4" t="s">
        <v>17</v>
      </c>
      <c r="BC8" s="4" t="str">
        <f t="shared" si="4"/>
        <v>N</v>
      </c>
      <c r="BD8" s="4" t="s">
        <v>17</v>
      </c>
      <c r="BE8" s="4" t="str">
        <f t="shared" si="5"/>
        <v>N</v>
      </c>
      <c r="BF8" s="4" t="s">
        <v>17</v>
      </c>
      <c r="BG8" s="4" t="str">
        <f t="shared" si="6"/>
        <v>N</v>
      </c>
      <c r="BH8" s="4" t="s">
        <v>5</v>
      </c>
      <c r="BI8" s="4" t="str">
        <f t="shared" si="7"/>
        <v>Sim</v>
      </c>
      <c r="BJ8" s="4" t="s">
        <v>17</v>
      </c>
      <c r="BK8" s="4" t="str">
        <f t="shared" si="8"/>
        <v>N</v>
      </c>
      <c r="BL8" s="4" t="s">
        <v>17</v>
      </c>
      <c r="BM8" s="4" t="str">
        <f t="shared" si="9"/>
        <v>N</v>
      </c>
      <c r="BN8" s="4" t="s">
        <v>17</v>
      </c>
      <c r="BO8" s="4" t="str">
        <f t="shared" si="10"/>
        <v>N</v>
      </c>
      <c r="BP8" s="4" t="s">
        <v>5</v>
      </c>
      <c r="BQ8" s="4" t="str">
        <f t="shared" si="11"/>
        <v>Sim</v>
      </c>
      <c r="BR8" s="4" t="s">
        <v>5</v>
      </c>
      <c r="BS8" s="4" t="str">
        <f t="shared" si="12"/>
        <v>Sim</v>
      </c>
      <c r="BT8" s="4" t="s">
        <v>3</v>
      </c>
      <c r="BU8" s="4" t="str">
        <f t="shared" si="13"/>
        <v>Sim</v>
      </c>
      <c r="BV8" s="4" t="s">
        <v>3</v>
      </c>
      <c r="BW8" s="4" t="str">
        <f t="shared" si="14"/>
        <v>Sim</v>
      </c>
      <c r="BX8" s="4" t="s">
        <v>3</v>
      </c>
      <c r="BY8" s="4" t="str">
        <f t="shared" si="15"/>
        <v>Sim</v>
      </c>
      <c r="BZ8" s="4" t="s">
        <v>5</v>
      </c>
      <c r="CA8" s="4" t="str">
        <f t="shared" si="16"/>
        <v>Sim</v>
      </c>
    </row>
    <row r="9" spans="2:81">
      <c r="B9" s="45" t="s">
        <v>77</v>
      </c>
      <c r="C9" s="44" t="s">
        <v>78</v>
      </c>
      <c r="D9" s="53" t="s">
        <v>83</v>
      </c>
      <c r="E9" s="6" t="s">
        <v>3</v>
      </c>
      <c r="F9" s="4">
        <v>0</v>
      </c>
      <c r="G9" s="4" t="s">
        <v>3</v>
      </c>
      <c r="H9" s="4">
        <v>0</v>
      </c>
      <c r="I9" s="4" t="s">
        <v>5</v>
      </c>
      <c r="J9" s="4">
        <v>1</v>
      </c>
      <c r="K9" s="4" t="s">
        <v>7</v>
      </c>
      <c r="L9" s="5">
        <v>1</v>
      </c>
      <c r="M9" s="7"/>
      <c r="N9" s="6" t="s">
        <v>3</v>
      </c>
      <c r="O9" s="4">
        <v>0</v>
      </c>
      <c r="P9" s="4" t="s">
        <v>3</v>
      </c>
      <c r="Q9" s="4">
        <v>0</v>
      </c>
      <c r="R9" s="4" t="s">
        <v>5</v>
      </c>
      <c r="S9" s="4">
        <v>1</v>
      </c>
      <c r="T9" s="4" t="s">
        <v>7</v>
      </c>
      <c r="U9" s="5">
        <v>1</v>
      </c>
      <c r="V9" s="7"/>
      <c r="W9" s="6" t="s">
        <v>17</v>
      </c>
      <c r="X9" s="4" t="s">
        <v>17</v>
      </c>
      <c r="Y9" s="4" t="s">
        <v>17</v>
      </c>
      <c r="Z9" s="4" t="s">
        <v>17</v>
      </c>
      <c r="AA9" s="4" t="s">
        <v>17</v>
      </c>
      <c r="AB9" s="4" t="s">
        <v>17</v>
      </c>
      <c r="AC9" s="4" t="s">
        <v>17</v>
      </c>
      <c r="AD9" s="5" t="s">
        <v>17</v>
      </c>
      <c r="AE9" s="7"/>
      <c r="AF9" s="6" t="s">
        <v>17</v>
      </c>
      <c r="AG9" s="4" t="s">
        <v>17</v>
      </c>
      <c r="AH9" s="4" t="s">
        <v>17</v>
      </c>
      <c r="AI9" s="4" t="s">
        <v>17</v>
      </c>
      <c r="AJ9" s="4" t="s">
        <v>17</v>
      </c>
      <c r="AK9" s="4" t="s">
        <v>17</v>
      </c>
      <c r="AL9" s="4" t="s">
        <v>17</v>
      </c>
      <c r="AM9" s="5" t="s">
        <v>17</v>
      </c>
      <c r="AN9" s="7"/>
      <c r="AO9" s="6" t="s">
        <v>13</v>
      </c>
      <c r="AP9" s="4" t="s">
        <v>13</v>
      </c>
      <c r="AQ9" s="4" t="s">
        <v>15</v>
      </c>
      <c r="AR9" s="5" t="s">
        <v>15</v>
      </c>
      <c r="AT9" s="4" t="s">
        <v>5</v>
      </c>
      <c r="AU9" s="4" t="str">
        <f t="shared" si="0"/>
        <v>Sim</v>
      </c>
      <c r="AV9" s="4" t="s">
        <v>5</v>
      </c>
      <c r="AW9" s="4" t="str">
        <f t="shared" si="1"/>
        <v>Sim</v>
      </c>
      <c r="AX9" s="4" t="s">
        <v>5</v>
      </c>
      <c r="AY9" s="4" t="str">
        <f t="shared" si="2"/>
        <v>Sim</v>
      </c>
      <c r="AZ9" s="4" t="s">
        <v>7</v>
      </c>
      <c r="BA9" s="4" t="str">
        <f t="shared" si="3"/>
        <v>Sim</v>
      </c>
      <c r="BB9" s="4" t="s">
        <v>17</v>
      </c>
      <c r="BC9" s="4" t="str">
        <f t="shared" si="4"/>
        <v>N</v>
      </c>
      <c r="BD9" s="4" t="s">
        <v>17</v>
      </c>
      <c r="BE9" s="4" t="str">
        <f t="shared" si="5"/>
        <v>N</v>
      </c>
      <c r="BF9" s="4" t="s">
        <v>17</v>
      </c>
      <c r="BG9" s="4" t="str">
        <f t="shared" si="6"/>
        <v>N</v>
      </c>
      <c r="BH9" s="4" t="s">
        <v>7</v>
      </c>
      <c r="BI9" s="4" t="str">
        <f t="shared" si="7"/>
        <v>Sim</v>
      </c>
      <c r="BJ9" s="4" t="s">
        <v>17</v>
      </c>
      <c r="BK9" s="4" t="str">
        <f t="shared" si="8"/>
        <v>N</v>
      </c>
      <c r="BL9" s="4" t="s">
        <v>17</v>
      </c>
      <c r="BM9" s="4" t="str">
        <f t="shared" si="9"/>
        <v>N</v>
      </c>
      <c r="BN9" s="4" t="s">
        <v>17</v>
      </c>
      <c r="BO9" s="4" t="str">
        <f t="shared" si="10"/>
        <v>N</v>
      </c>
      <c r="BP9" s="4" t="s">
        <v>7</v>
      </c>
      <c r="BQ9" s="4" t="str">
        <f t="shared" si="11"/>
        <v>Sim</v>
      </c>
      <c r="BR9" s="4" t="s">
        <v>7</v>
      </c>
      <c r="BS9" s="4" t="str">
        <f t="shared" si="12"/>
        <v>Sim</v>
      </c>
      <c r="BT9" s="4" t="s">
        <v>3</v>
      </c>
      <c r="BU9" s="4" t="str">
        <f t="shared" si="13"/>
        <v>Sim</v>
      </c>
      <c r="BV9" s="4" t="s">
        <v>5</v>
      </c>
      <c r="BW9" s="4" t="str">
        <f t="shared" si="14"/>
        <v>Sim</v>
      </c>
      <c r="BX9" s="4" t="s">
        <v>5</v>
      </c>
      <c r="BY9" s="4" t="str">
        <f t="shared" si="15"/>
        <v>Sim</v>
      </c>
      <c r="BZ9" s="4" t="s">
        <v>5</v>
      </c>
      <c r="CA9" s="4" t="str">
        <f t="shared" si="16"/>
        <v>Sim</v>
      </c>
    </row>
    <row r="10" spans="2:81">
      <c r="B10" s="46" t="s">
        <v>77</v>
      </c>
      <c r="C10" s="13" t="s">
        <v>78</v>
      </c>
      <c r="D10" s="54" t="s">
        <v>84</v>
      </c>
      <c r="E10" s="6" t="s">
        <v>3</v>
      </c>
      <c r="F10" s="4">
        <v>0</v>
      </c>
      <c r="G10" s="4" t="s">
        <v>3</v>
      </c>
      <c r="H10" s="4">
        <v>0</v>
      </c>
      <c r="I10" s="4" t="s">
        <v>5</v>
      </c>
      <c r="J10" s="4">
        <v>1</v>
      </c>
      <c r="K10" s="4" t="s">
        <v>7</v>
      </c>
      <c r="L10" s="5">
        <v>1</v>
      </c>
      <c r="M10" s="7"/>
      <c r="N10" s="6" t="s">
        <v>3</v>
      </c>
      <c r="O10" s="4">
        <v>0</v>
      </c>
      <c r="P10" s="4" t="s">
        <v>3</v>
      </c>
      <c r="Q10" s="4">
        <v>0</v>
      </c>
      <c r="R10" s="4" t="s">
        <v>5</v>
      </c>
      <c r="S10" s="4">
        <v>1</v>
      </c>
      <c r="T10" s="4" t="s">
        <v>7</v>
      </c>
      <c r="U10" s="5">
        <v>1</v>
      </c>
      <c r="V10" s="7"/>
      <c r="W10" s="6" t="s">
        <v>17</v>
      </c>
      <c r="X10" s="4" t="s">
        <v>17</v>
      </c>
      <c r="Y10" s="4" t="s">
        <v>17</v>
      </c>
      <c r="Z10" s="4" t="s">
        <v>17</v>
      </c>
      <c r="AA10" s="4" t="s">
        <v>17</v>
      </c>
      <c r="AB10" s="4" t="s">
        <v>17</v>
      </c>
      <c r="AC10" s="4" t="s">
        <v>17</v>
      </c>
      <c r="AD10" s="5" t="s">
        <v>17</v>
      </c>
      <c r="AE10" s="7"/>
      <c r="AF10" s="6" t="s">
        <v>17</v>
      </c>
      <c r="AG10" s="4" t="s">
        <v>17</v>
      </c>
      <c r="AH10" s="4" t="s">
        <v>17</v>
      </c>
      <c r="AI10" s="4" t="s">
        <v>17</v>
      </c>
      <c r="AJ10" s="4" t="s">
        <v>17</v>
      </c>
      <c r="AK10" s="4" t="s">
        <v>17</v>
      </c>
      <c r="AL10" s="4" t="s">
        <v>17</v>
      </c>
      <c r="AM10" s="5" t="s">
        <v>17</v>
      </c>
      <c r="AN10" s="7"/>
      <c r="AO10" s="6" t="s">
        <v>13</v>
      </c>
      <c r="AP10" s="4" t="s">
        <v>13</v>
      </c>
      <c r="AQ10" s="4" t="s">
        <v>15</v>
      </c>
      <c r="AR10" s="5" t="s">
        <v>15</v>
      </c>
      <c r="AT10" s="4" t="s">
        <v>5</v>
      </c>
      <c r="AU10" s="4" t="str">
        <f t="shared" si="0"/>
        <v>Sim</v>
      </c>
      <c r="AV10" s="4" t="s">
        <v>5</v>
      </c>
      <c r="AW10" s="4" t="str">
        <f t="shared" si="1"/>
        <v>Sim</v>
      </c>
      <c r="AX10" s="4" t="s">
        <v>5</v>
      </c>
      <c r="AY10" s="4" t="str">
        <f t="shared" si="2"/>
        <v>Sim</v>
      </c>
      <c r="AZ10" s="4" t="s">
        <v>3</v>
      </c>
      <c r="BA10" s="4" t="str">
        <f t="shared" si="3"/>
        <v>Sim</v>
      </c>
      <c r="BB10" s="4" t="s">
        <v>17</v>
      </c>
      <c r="BC10" s="4" t="str">
        <f t="shared" si="4"/>
        <v>N</v>
      </c>
      <c r="BD10" s="4" t="s">
        <v>17</v>
      </c>
      <c r="BE10" s="4" t="str">
        <f t="shared" si="5"/>
        <v>N</v>
      </c>
      <c r="BF10" s="4" t="s">
        <v>17</v>
      </c>
      <c r="BG10" s="4" t="str">
        <f t="shared" si="6"/>
        <v>N</v>
      </c>
      <c r="BH10" s="4" t="s">
        <v>7</v>
      </c>
      <c r="BI10" s="4" t="str">
        <f t="shared" si="7"/>
        <v>Sim</v>
      </c>
      <c r="BJ10" s="4" t="s">
        <v>17</v>
      </c>
      <c r="BK10" s="4" t="str">
        <f t="shared" si="8"/>
        <v>N</v>
      </c>
      <c r="BL10" s="4" t="s">
        <v>17</v>
      </c>
      <c r="BM10" s="4" t="str">
        <f t="shared" si="9"/>
        <v>N</v>
      </c>
      <c r="BN10" s="4" t="s">
        <v>17</v>
      </c>
      <c r="BO10" s="4" t="str">
        <f t="shared" si="10"/>
        <v>N</v>
      </c>
      <c r="BP10" s="4" t="s">
        <v>7</v>
      </c>
      <c r="BQ10" s="4" t="str">
        <f t="shared" si="11"/>
        <v>Sim</v>
      </c>
      <c r="BR10" s="4" t="s">
        <v>7</v>
      </c>
      <c r="BS10" s="4" t="str">
        <f t="shared" si="12"/>
        <v>Sim</v>
      </c>
      <c r="BT10" s="4" t="s">
        <v>3</v>
      </c>
      <c r="BU10" s="4" t="str">
        <f t="shared" si="13"/>
        <v>Sim</v>
      </c>
      <c r="BV10" s="4" t="s">
        <v>3</v>
      </c>
      <c r="BW10" s="4" t="str">
        <f t="shared" si="14"/>
        <v>Sim</v>
      </c>
      <c r="BX10" s="4" t="s">
        <v>3</v>
      </c>
      <c r="BY10" s="4" t="str">
        <f t="shared" si="15"/>
        <v>Sim</v>
      </c>
      <c r="BZ10" s="4" t="s">
        <v>7</v>
      </c>
      <c r="CA10" s="4" t="str">
        <f t="shared" si="16"/>
        <v>Sim</v>
      </c>
    </row>
    <row r="11" spans="2:81">
      <c r="B11" s="45" t="s">
        <v>77</v>
      </c>
      <c r="C11" s="44" t="s">
        <v>78</v>
      </c>
      <c r="D11" s="53" t="s">
        <v>85</v>
      </c>
      <c r="E11" s="6" t="s">
        <v>3</v>
      </c>
      <c r="F11" s="4">
        <v>0</v>
      </c>
      <c r="G11" s="4" t="s">
        <v>3</v>
      </c>
      <c r="H11" s="4">
        <v>0</v>
      </c>
      <c r="I11" s="4" t="s">
        <v>5</v>
      </c>
      <c r="J11" s="4">
        <v>1</v>
      </c>
      <c r="K11" s="4" t="s">
        <v>5</v>
      </c>
      <c r="L11" s="5">
        <v>1</v>
      </c>
      <c r="M11" s="7"/>
      <c r="N11" s="6" t="s">
        <v>17</v>
      </c>
      <c r="O11" s="4" t="s">
        <v>17</v>
      </c>
      <c r="P11" s="4" t="s">
        <v>17</v>
      </c>
      <c r="Q11" s="4" t="s">
        <v>17</v>
      </c>
      <c r="R11" s="4" t="s">
        <v>5</v>
      </c>
      <c r="S11" s="4">
        <v>1</v>
      </c>
      <c r="T11" s="4" t="s">
        <v>5</v>
      </c>
      <c r="U11" s="5">
        <v>1</v>
      </c>
      <c r="V11" s="7"/>
      <c r="W11" s="6" t="s">
        <v>17</v>
      </c>
      <c r="X11" s="4" t="s">
        <v>17</v>
      </c>
      <c r="Y11" s="4" t="s">
        <v>17</v>
      </c>
      <c r="Z11" s="4" t="s">
        <v>17</v>
      </c>
      <c r="AA11" s="4" t="s">
        <v>17</v>
      </c>
      <c r="AB11" s="4" t="s">
        <v>17</v>
      </c>
      <c r="AC11" s="4" t="s">
        <v>17</v>
      </c>
      <c r="AD11" s="5" t="s">
        <v>17</v>
      </c>
      <c r="AE11" s="7"/>
      <c r="AF11" s="6" t="s">
        <v>17</v>
      </c>
      <c r="AG11" s="4" t="s">
        <v>17</v>
      </c>
      <c r="AH11" s="4" t="s">
        <v>17</v>
      </c>
      <c r="AI11" s="4" t="s">
        <v>17</v>
      </c>
      <c r="AJ11" s="4" t="s">
        <v>17</v>
      </c>
      <c r="AK11" s="4" t="s">
        <v>17</v>
      </c>
      <c r="AL11" s="4" t="s">
        <v>17</v>
      </c>
      <c r="AM11" s="5" t="s">
        <v>17</v>
      </c>
      <c r="AN11" s="7"/>
      <c r="AO11" s="6" t="s">
        <v>13</v>
      </c>
      <c r="AP11" s="4" t="s">
        <v>13</v>
      </c>
      <c r="AQ11" s="4" t="s">
        <v>15</v>
      </c>
      <c r="AR11" s="5" t="s">
        <v>15</v>
      </c>
      <c r="AT11" s="4" t="s">
        <v>5</v>
      </c>
      <c r="AU11" s="4" t="str">
        <f t="shared" si="0"/>
        <v>N</v>
      </c>
      <c r="AV11" s="4" t="s">
        <v>5</v>
      </c>
      <c r="AW11" s="4" t="str">
        <f t="shared" si="1"/>
        <v>Sim</v>
      </c>
      <c r="AX11" s="4" t="s">
        <v>5</v>
      </c>
      <c r="AY11" s="4" t="str">
        <f t="shared" si="2"/>
        <v>Sim</v>
      </c>
      <c r="AZ11" s="4" t="s">
        <v>3</v>
      </c>
      <c r="BA11" s="4" t="str">
        <f t="shared" si="3"/>
        <v>Sim</v>
      </c>
      <c r="BB11" s="4" t="s">
        <v>17</v>
      </c>
      <c r="BC11" s="4" t="str">
        <f t="shared" si="4"/>
        <v>N</v>
      </c>
      <c r="BD11" s="4" t="s">
        <v>17</v>
      </c>
      <c r="BE11" s="4" t="str">
        <f t="shared" si="5"/>
        <v>N</v>
      </c>
      <c r="BF11" s="4" t="s">
        <v>17</v>
      </c>
      <c r="BG11" s="4" t="str">
        <f t="shared" si="6"/>
        <v>N</v>
      </c>
      <c r="BH11" s="4" t="s">
        <v>5</v>
      </c>
      <c r="BI11" s="4" t="str">
        <f t="shared" si="7"/>
        <v>Sim</v>
      </c>
      <c r="BJ11" s="4" t="s">
        <v>17</v>
      </c>
      <c r="BK11" s="4" t="str">
        <f t="shared" si="8"/>
        <v>N</v>
      </c>
      <c r="BL11" s="4" t="s">
        <v>17</v>
      </c>
      <c r="BM11" s="4" t="str">
        <f t="shared" si="9"/>
        <v>N</v>
      </c>
      <c r="BN11" s="4" t="s">
        <v>17</v>
      </c>
      <c r="BO11" s="4" t="str">
        <f t="shared" si="10"/>
        <v>N</v>
      </c>
      <c r="BP11" s="4" t="s">
        <v>5</v>
      </c>
      <c r="BQ11" s="4" t="str">
        <f t="shared" si="11"/>
        <v>Sim</v>
      </c>
      <c r="BR11" s="4" t="s">
        <v>5</v>
      </c>
      <c r="BS11" s="4" t="str">
        <f t="shared" si="12"/>
        <v>Sim</v>
      </c>
      <c r="BT11" s="4" t="s">
        <v>5</v>
      </c>
      <c r="BU11" s="4" t="str">
        <f t="shared" si="13"/>
        <v>Sim</v>
      </c>
      <c r="BV11" s="4" t="s">
        <v>5</v>
      </c>
      <c r="BW11" s="4" t="str">
        <f t="shared" si="14"/>
        <v>Sim</v>
      </c>
      <c r="BX11" s="4" t="s">
        <v>5</v>
      </c>
      <c r="BY11" s="4" t="str">
        <f t="shared" si="15"/>
        <v>N</v>
      </c>
      <c r="BZ11" s="4" t="s">
        <v>7</v>
      </c>
      <c r="CA11" s="4" t="str">
        <f t="shared" si="16"/>
        <v>Sim</v>
      </c>
    </row>
    <row r="12" spans="2:81">
      <c r="B12" s="46" t="s">
        <v>77</v>
      </c>
      <c r="C12" s="13" t="s">
        <v>78</v>
      </c>
      <c r="D12" s="54" t="s">
        <v>86</v>
      </c>
      <c r="E12" s="6" t="s">
        <v>17</v>
      </c>
      <c r="F12" s="4" t="s">
        <v>17</v>
      </c>
      <c r="G12" s="4" t="s">
        <v>17</v>
      </c>
      <c r="H12" s="4" t="s">
        <v>17</v>
      </c>
      <c r="I12" s="4" t="s">
        <v>5</v>
      </c>
      <c r="J12" s="4">
        <v>1</v>
      </c>
      <c r="K12" s="4" t="s">
        <v>7</v>
      </c>
      <c r="L12" s="5">
        <v>1</v>
      </c>
      <c r="M12" s="7"/>
      <c r="N12" s="6" t="s">
        <v>17</v>
      </c>
      <c r="O12" s="4" t="s">
        <v>17</v>
      </c>
      <c r="P12" s="4" t="s">
        <v>17</v>
      </c>
      <c r="Q12" s="4" t="s">
        <v>17</v>
      </c>
      <c r="R12" s="4" t="s">
        <v>5</v>
      </c>
      <c r="S12" s="4">
        <v>1</v>
      </c>
      <c r="T12" s="4" t="s">
        <v>7</v>
      </c>
      <c r="U12" s="5">
        <v>1</v>
      </c>
      <c r="V12" s="7"/>
      <c r="W12" s="6" t="s">
        <v>17</v>
      </c>
      <c r="X12" s="4" t="s">
        <v>17</v>
      </c>
      <c r="Y12" s="4" t="s">
        <v>17</v>
      </c>
      <c r="Z12" s="4" t="s">
        <v>17</v>
      </c>
      <c r="AA12" s="4" t="s">
        <v>17</v>
      </c>
      <c r="AB12" s="4" t="s">
        <v>17</v>
      </c>
      <c r="AC12" s="4" t="s">
        <v>17</v>
      </c>
      <c r="AD12" s="5" t="s">
        <v>17</v>
      </c>
      <c r="AE12" s="7"/>
      <c r="AF12" s="6" t="s">
        <v>17</v>
      </c>
      <c r="AG12" s="4" t="s">
        <v>17</v>
      </c>
      <c r="AH12" s="4" t="s">
        <v>17</v>
      </c>
      <c r="AI12" s="4" t="s">
        <v>17</v>
      </c>
      <c r="AJ12" s="4" t="s">
        <v>17</v>
      </c>
      <c r="AK12" s="4" t="s">
        <v>17</v>
      </c>
      <c r="AL12" s="4" t="s">
        <v>17</v>
      </c>
      <c r="AM12" s="5" t="s">
        <v>17</v>
      </c>
      <c r="AN12" s="7"/>
      <c r="AO12" s="6" t="s">
        <v>13</v>
      </c>
      <c r="AP12" s="4" t="s">
        <v>13</v>
      </c>
      <c r="AQ12" s="4" t="s">
        <v>15</v>
      </c>
      <c r="AR12" s="5" t="s">
        <v>15</v>
      </c>
      <c r="AT12" s="4" t="s">
        <v>5</v>
      </c>
      <c r="AU12" s="4" t="str">
        <f t="shared" si="0"/>
        <v>N</v>
      </c>
      <c r="AV12" s="4" t="s">
        <v>5</v>
      </c>
      <c r="AW12" s="4" t="str">
        <f t="shared" si="1"/>
        <v>Sim</v>
      </c>
      <c r="AX12" s="4" t="s">
        <v>5</v>
      </c>
      <c r="AY12" s="4" t="str">
        <f t="shared" si="2"/>
        <v>Sim</v>
      </c>
      <c r="AZ12" s="4" t="s">
        <v>7</v>
      </c>
      <c r="BA12" s="4" t="str">
        <f t="shared" si="3"/>
        <v>Sim</v>
      </c>
      <c r="BB12" s="4" t="s">
        <v>17</v>
      </c>
      <c r="BC12" s="4" t="str">
        <f t="shared" si="4"/>
        <v>N</v>
      </c>
      <c r="BD12" s="4" t="s">
        <v>17</v>
      </c>
      <c r="BE12" s="4" t="str">
        <f t="shared" si="5"/>
        <v>N</v>
      </c>
      <c r="BF12" s="4" t="s">
        <v>17</v>
      </c>
      <c r="BG12" s="4" t="str">
        <f t="shared" si="6"/>
        <v>N</v>
      </c>
      <c r="BH12" s="4" t="s">
        <v>7</v>
      </c>
      <c r="BI12" s="4" t="str">
        <f t="shared" si="7"/>
        <v>Sim</v>
      </c>
      <c r="BJ12" s="4" t="s">
        <v>17</v>
      </c>
      <c r="BK12" s="4" t="str">
        <f t="shared" si="8"/>
        <v>N</v>
      </c>
      <c r="BL12" s="4" t="s">
        <v>17</v>
      </c>
      <c r="BM12" s="4" t="str">
        <f t="shared" si="9"/>
        <v>N</v>
      </c>
      <c r="BN12" s="4" t="s">
        <v>17</v>
      </c>
      <c r="BO12" s="4" t="str">
        <f t="shared" si="10"/>
        <v>N</v>
      </c>
      <c r="BP12" s="4" t="s">
        <v>5</v>
      </c>
      <c r="BQ12" s="4" t="str">
        <f t="shared" si="11"/>
        <v>Sim</v>
      </c>
      <c r="BR12" s="4" t="s">
        <v>5</v>
      </c>
      <c r="BS12" s="4" t="str">
        <f t="shared" si="12"/>
        <v>Sim</v>
      </c>
      <c r="BT12" s="4" t="s">
        <v>5</v>
      </c>
      <c r="BU12" s="4" t="str">
        <f t="shared" si="13"/>
        <v>N</v>
      </c>
      <c r="BV12" s="4" t="s">
        <v>3</v>
      </c>
      <c r="BW12" s="4" t="str">
        <f t="shared" si="14"/>
        <v>N</v>
      </c>
      <c r="BX12" s="4" t="s">
        <v>5</v>
      </c>
      <c r="BY12" s="4" t="str">
        <f t="shared" si="15"/>
        <v>N</v>
      </c>
      <c r="BZ12" s="4" t="s">
        <v>3</v>
      </c>
      <c r="CA12" s="4" t="str">
        <f t="shared" si="16"/>
        <v>N</v>
      </c>
    </row>
    <row r="13" spans="2:81">
      <c r="B13" s="45" t="s">
        <v>77</v>
      </c>
      <c r="C13" s="44" t="s">
        <v>87</v>
      </c>
      <c r="D13" s="53" t="s">
        <v>88</v>
      </c>
      <c r="E13" s="6" t="s">
        <v>17</v>
      </c>
      <c r="F13" s="4" t="s">
        <v>17</v>
      </c>
      <c r="G13" s="4" t="s">
        <v>17</v>
      </c>
      <c r="H13" s="4" t="s">
        <v>17</v>
      </c>
      <c r="I13" s="4" t="s">
        <v>17</v>
      </c>
      <c r="J13" s="4" t="s">
        <v>17</v>
      </c>
      <c r="K13" s="4" t="s">
        <v>3</v>
      </c>
      <c r="L13" s="5">
        <v>1</v>
      </c>
      <c r="M13" s="7"/>
      <c r="N13" s="6" t="s">
        <v>17</v>
      </c>
      <c r="O13" s="4" t="s">
        <v>17</v>
      </c>
      <c r="P13" s="4" t="s">
        <v>17</v>
      </c>
      <c r="Q13" s="4" t="s">
        <v>17</v>
      </c>
      <c r="R13" s="4" t="s">
        <v>17</v>
      </c>
      <c r="S13" s="4" t="s">
        <v>17</v>
      </c>
      <c r="T13" s="4" t="s">
        <v>3</v>
      </c>
      <c r="U13" s="5">
        <v>1</v>
      </c>
      <c r="V13" s="7"/>
      <c r="W13" s="6" t="s">
        <v>17</v>
      </c>
      <c r="X13" s="4" t="s">
        <v>17</v>
      </c>
      <c r="Y13" s="4" t="s">
        <v>17</v>
      </c>
      <c r="Z13" s="4" t="s">
        <v>17</v>
      </c>
      <c r="AA13" s="4" t="s">
        <v>3</v>
      </c>
      <c r="AB13" s="4">
        <v>0</v>
      </c>
      <c r="AC13" s="4" t="s">
        <v>5</v>
      </c>
      <c r="AD13" s="5">
        <v>0</v>
      </c>
      <c r="AE13" s="7"/>
      <c r="AF13" s="6" t="s">
        <v>17</v>
      </c>
      <c r="AG13" s="4" t="s">
        <v>17</v>
      </c>
      <c r="AH13" s="4" t="s">
        <v>3</v>
      </c>
      <c r="AI13" s="4">
        <v>0</v>
      </c>
      <c r="AJ13" s="4" t="s">
        <v>3</v>
      </c>
      <c r="AK13" s="4">
        <v>0</v>
      </c>
      <c r="AL13" s="4" t="s">
        <v>5</v>
      </c>
      <c r="AM13" s="5">
        <v>0</v>
      </c>
      <c r="AN13" s="7"/>
      <c r="AO13" s="6" t="s">
        <v>13</v>
      </c>
      <c r="AP13" s="4" t="s">
        <v>13</v>
      </c>
      <c r="AQ13" s="4" t="s">
        <v>13</v>
      </c>
      <c r="AR13" s="5" t="s">
        <v>13</v>
      </c>
      <c r="AT13" s="4" t="s">
        <v>1</v>
      </c>
      <c r="AU13" s="4" t="str">
        <f t="shared" si="0"/>
        <v>N</v>
      </c>
      <c r="AV13" s="4" t="s">
        <v>3</v>
      </c>
      <c r="AW13" s="4" t="str">
        <f t="shared" si="1"/>
        <v>N</v>
      </c>
      <c r="AX13" s="4" t="s">
        <v>3</v>
      </c>
      <c r="AY13" s="4" t="str">
        <f t="shared" si="2"/>
        <v>N</v>
      </c>
      <c r="AZ13" s="4" t="s">
        <v>3</v>
      </c>
      <c r="BA13" s="4" t="str">
        <f t="shared" si="3"/>
        <v>N</v>
      </c>
      <c r="BB13" s="4" t="s">
        <v>3</v>
      </c>
      <c r="BC13" s="4" t="str">
        <f t="shared" si="4"/>
        <v>Sim</v>
      </c>
      <c r="BD13" s="4" t="s">
        <v>5</v>
      </c>
      <c r="BE13" s="4" t="str">
        <f t="shared" si="5"/>
        <v>Sim</v>
      </c>
      <c r="BF13" s="4" t="s">
        <v>3</v>
      </c>
      <c r="BG13" s="4" t="str">
        <f t="shared" si="6"/>
        <v>N</v>
      </c>
      <c r="BH13" s="4" t="s">
        <v>5</v>
      </c>
      <c r="BI13" s="4" t="str">
        <f t="shared" si="7"/>
        <v>Sim</v>
      </c>
      <c r="BJ13" s="4" t="s">
        <v>1</v>
      </c>
      <c r="BK13" s="4" t="str">
        <f t="shared" si="8"/>
        <v>N</v>
      </c>
      <c r="BL13" s="4" t="s">
        <v>1</v>
      </c>
      <c r="BM13" s="4" t="str">
        <f t="shared" si="9"/>
        <v>N</v>
      </c>
      <c r="BN13" s="4" t="s">
        <v>3</v>
      </c>
      <c r="BO13" s="4" t="str">
        <f t="shared" si="10"/>
        <v>Sim</v>
      </c>
      <c r="BP13" s="4" t="s">
        <v>3</v>
      </c>
      <c r="BQ13" s="4" t="str">
        <f t="shared" si="11"/>
        <v>Sim</v>
      </c>
      <c r="BR13" s="4" t="s">
        <v>5</v>
      </c>
      <c r="BS13" s="4" t="str">
        <f t="shared" si="12"/>
        <v>N</v>
      </c>
      <c r="BT13" s="4" t="s">
        <v>3</v>
      </c>
      <c r="BU13" s="4" t="str">
        <f t="shared" si="13"/>
        <v>N</v>
      </c>
      <c r="BV13" s="4" t="s">
        <v>3</v>
      </c>
      <c r="BW13" s="4" t="str">
        <f t="shared" si="14"/>
        <v>N</v>
      </c>
      <c r="BX13" s="4" t="s">
        <v>3</v>
      </c>
      <c r="BY13" s="4" t="str">
        <f t="shared" si="15"/>
        <v>N</v>
      </c>
      <c r="BZ13" s="4" t="s">
        <v>3</v>
      </c>
      <c r="CA13" s="4" t="str">
        <f t="shared" si="16"/>
        <v>N</v>
      </c>
    </row>
    <row r="14" spans="2:81">
      <c r="B14" s="46" t="s">
        <v>77</v>
      </c>
      <c r="C14" s="13" t="s">
        <v>78</v>
      </c>
      <c r="D14" s="54" t="s">
        <v>89</v>
      </c>
      <c r="E14" s="6" t="s">
        <v>3</v>
      </c>
      <c r="F14" s="4">
        <v>0</v>
      </c>
      <c r="G14" s="4" t="s">
        <v>3</v>
      </c>
      <c r="H14" s="4">
        <v>1</v>
      </c>
      <c r="I14" s="4" t="s">
        <v>5</v>
      </c>
      <c r="J14" s="4">
        <v>1</v>
      </c>
      <c r="K14" s="4" t="s">
        <v>7</v>
      </c>
      <c r="L14" s="5">
        <v>1</v>
      </c>
      <c r="M14" s="7"/>
      <c r="N14" s="6" t="s">
        <v>3</v>
      </c>
      <c r="O14" s="4">
        <v>0</v>
      </c>
      <c r="P14" s="4" t="s">
        <v>3</v>
      </c>
      <c r="Q14" s="4">
        <v>1</v>
      </c>
      <c r="R14" s="4" t="s">
        <v>5</v>
      </c>
      <c r="S14" s="4">
        <v>1</v>
      </c>
      <c r="T14" s="4" t="s">
        <v>7</v>
      </c>
      <c r="U14" s="5">
        <v>1</v>
      </c>
      <c r="V14" s="7"/>
      <c r="W14" s="6" t="s">
        <v>17</v>
      </c>
      <c r="X14" s="4" t="s">
        <v>17</v>
      </c>
      <c r="Y14" s="4" t="s">
        <v>17</v>
      </c>
      <c r="Z14" s="4" t="s">
        <v>17</v>
      </c>
      <c r="AA14" s="4" t="s">
        <v>17</v>
      </c>
      <c r="AB14" s="4" t="s">
        <v>17</v>
      </c>
      <c r="AC14" s="4" t="s">
        <v>17</v>
      </c>
      <c r="AD14" s="5" t="s">
        <v>17</v>
      </c>
      <c r="AE14" s="7"/>
      <c r="AF14" s="6" t="s">
        <v>17</v>
      </c>
      <c r="AG14" s="4" t="s">
        <v>17</v>
      </c>
      <c r="AH14" s="4" t="s">
        <v>17</v>
      </c>
      <c r="AI14" s="4" t="s">
        <v>17</v>
      </c>
      <c r="AJ14" s="4" t="s">
        <v>17</v>
      </c>
      <c r="AK14" s="4" t="s">
        <v>17</v>
      </c>
      <c r="AL14" s="4" t="s">
        <v>17</v>
      </c>
      <c r="AM14" s="5" t="s">
        <v>17</v>
      </c>
      <c r="AN14" s="7"/>
      <c r="AO14" s="6" t="s">
        <v>13</v>
      </c>
      <c r="AP14" s="4" t="s">
        <v>13</v>
      </c>
      <c r="AQ14" s="4" t="s">
        <v>15</v>
      </c>
      <c r="AR14" s="5" t="s">
        <v>15</v>
      </c>
      <c r="AT14" s="4" t="s">
        <v>5</v>
      </c>
      <c r="AU14" s="4" t="str">
        <f t="shared" si="0"/>
        <v>Sim</v>
      </c>
      <c r="AV14" s="4" t="s">
        <v>7</v>
      </c>
      <c r="AW14" s="4" t="str">
        <f t="shared" si="1"/>
        <v>Sim</v>
      </c>
      <c r="AX14" s="4" t="s">
        <v>5</v>
      </c>
      <c r="AY14" s="4" t="str">
        <f t="shared" si="2"/>
        <v>Sim</v>
      </c>
      <c r="AZ14" s="4" t="s">
        <v>3</v>
      </c>
      <c r="BA14" s="4" t="str">
        <f t="shared" si="3"/>
        <v>Sim</v>
      </c>
      <c r="BB14" s="4" t="s">
        <v>17</v>
      </c>
      <c r="BC14" s="4" t="str">
        <f t="shared" si="4"/>
        <v>N</v>
      </c>
      <c r="BD14" s="4" t="s">
        <v>17</v>
      </c>
      <c r="BE14" s="4" t="str">
        <f t="shared" si="5"/>
        <v>N</v>
      </c>
      <c r="BF14" s="4" t="s">
        <v>17</v>
      </c>
      <c r="BG14" s="4" t="str">
        <f t="shared" si="6"/>
        <v>N</v>
      </c>
      <c r="BH14" s="4" t="s">
        <v>7</v>
      </c>
      <c r="BI14" s="4" t="str">
        <f t="shared" si="7"/>
        <v>Sim</v>
      </c>
      <c r="BJ14" s="4" t="s">
        <v>17</v>
      </c>
      <c r="BK14" s="4" t="str">
        <f t="shared" si="8"/>
        <v>N</v>
      </c>
      <c r="BL14" s="4" t="s">
        <v>17</v>
      </c>
      <c r="BM14" s="4" t="str">
        <f t="shared" si="9"/>
        <v>N</v>
      </c>
      <c r="BN14" s="4" t="s">
        <v>17</v>
      </c>
      <c r="BO14" s="4" t="str">
        <f t="shared" si="10"/>
        <v>N</v>
      </c>
      <c r="BP14" s="4" t="s">
        <v>5</v>
      </c>
      <c r="BQ14" s="4" t="str">
        <f t="shared" si="11"/>
        <v>Sim</v>
      </c>
      <c r="BR14" s="4" t="s">
        <v>5</v>
      </c>
      <c r="BS14" s="4" t="str">
        <f t="shared" si="12"/>
        <v>Sim</v>
      </c>
      <c r="BT14" s="4" t="s">
        <v>5</v>
      </c>
      <c r="BU14" s="4" t="str">
        <f t="shared" si="13"/>
        <v>Sim</v>
      </c>
      <c r="BV14" s="4" t="s">
        <v>3</v>
      </c>
      <c r="BW14" s="4" t="str">
        <f t="shared" si="14"/>
        <v>Sim</v>
      </c>
      <c r="BX14" s="4" t="s">
        <v>5</v>
      </c>
      <c r="BY14" s="4" t="str">
        <f t="shared" si="15"/>
        <v>Sim</v>
      </c>
      <c r="BZ14" s="4" t="s">
        <v>7</v>
      </c>
      <c r="CA14" s="4" t="str">
        <f t="shared" si="16"/>
        <v>Sim</v>
      </c>
    </row>
    <row r="15" spans="2:81">
      <c r="B15" s="45" t="s">
        <v>77</v>
      </c>
      <c r="C15" s="44" t="s">
        <v>78</v>
      </c>
      <c r="D15" s="53" t="s">
        <v>90</v>
      </c>
      <c r="E15" s="6" t="s">
        <v>3</v>
      </c>
      <c r="F15" s="4">
        <v>0</v>
      </c>
      <c r="G15" s="4" t="s">
        <v>3</v>
      </c>
      <c r="H15" s="4">
        <v>0</v>
      </c>
      <c r="I15" s="4" t="s">
        <v>5</v>
      </c>
      <c r="J15" s="4">
        <v>1</v>
      </c>
      <c r="K15" s="4" t="s">
        <v>7</v>
      </c>
      <c r="L15" s="5">
        <v>1</v>
      </c>
      <c r="M15" s="7"/>
      <c r="N15" s="6" t="s">
        <v>3</v>
      </c>
      <c r="O15" s="4">
        <v>0</v>
      </c>
      <c r="P15" s="4" t="s">
        <v>3</v>
      </c>
      <c r="Q15" s="4">
        <v>0</v>
      </c>
      <c r="R15" s="4" t="s">
        <v>5</v>
      </c>
      <c r="S15" s="4">
        <v>1</v>
      </c>
      <c r="T15" s="4" t="s">
        <v>7</v>
      </c>
      <c r="U15" s="5">
        <v>1</v>
      </c>
      <c r="V15" s="7"/>
      <c r="W15" s="6" t="s">
        <v>17</v>
      </c>
      <c r="X15" s="4" t="s">
        <v>17</v>
      </c>
      <c r="Y15" s="4" t="s">
        <v>17</v>
      </c>
      <c r="Z15" s="4" t="s">
        <v>17</v>
      </c>
      <c r="AA15" s="4" t="s">
        <v>17</v>
      </c>
      <c r="AB15" s="4" t="s">
        <v>17</v>
      </c>
      <c r="AC15" s="4" t="s">
        <v>17</v>
      </c>
      <c r="AD15" s="5" t="s">
        <v>17</v>
      </c>
      <c r="AE15" s="7"/>
      <c r="AF15" s="6" t="s">
        <v>17</v>
      </c>
      <c r="AG15" s="4" t="s">
        <v>17</v>
      </c>
      <c r="AH15" s="4" t="s">
        <v>17</v>
      </c>
      <c r="AI15" s="4" t="s">
        <v>17</v>
      </c>
      <c r="AJ15" s="4" t="s">
        <v>17</v>
      </c>
      <c r="AK15" s="4" t="s">
        <v>17</v>
      </c>
      <c r="AL15" s="4" t="s">
        <v>17</v>
      </c>
      <c r="AM15" s="5" t="s">
        <v>17</v>
      </c>
      <c r="AN15" s="7"/>
      <c r="AO15" s="6" t="s">
        <v>13</v>
      </c>
      <c r="AP15" s="4" t="s">
        <v>13</v>
      </c>
      <c r="AQ15" s="4" t="s">
        <v>15</v>
      </c>
      <c r="AR15" s="5" t="s">
        <v>15</v>
      </c>
      <c r="AT15" s="4" t="s">
        <v>5</v>
      </c>
      <c r="AU15" s="4" t="str">
        <f t="shared" si="0"/>
        <v>Sim</v>
      </c>
      <c r="AV15" s="4" t="s">
        <v>7</v>
      </c>
      <c r="AW15" s="4" t="str">
        <f t="shared" si="1"/>
        <v>Sim</v>
      </c>
      <c r="AX15" s="4" t="s">
        <v>5</v>
      </c>
      <c r="AY15" s="4" t="str">
        <f t="shared" si="2"/>
        <v>Sim</v>
      </c>
      <c r="AZ15" s="4" t="s">
        <v>5</v>
      </c>
      <c r="BA15" s="4" t="str">
        <f t="shared" si="3"/>
        <v>Sim</v>
      </c>
      <c r="BB15" s="4" t="s">
        <v>17</v>
      </c>
      <c r="BC15" s="4" t="str">
        <f t="shared" si="4"/>
        <v>N</v>
      </c>
      <c r="BD15" s="4" t="s">
        <v>17</v>
      </c>
      <c r="BE15" s="4" t="str">
        <f t="shared" si="5"/>
        <v>N</v>
      </c>
      <c r="BF15" s="4" t="s">
        <v>17</v>
      </c>
      <c r="BG15" s="4" t="str">
        <f t="shared" si="6"/>
        <v>N</v>
      </c>
      <c r="BH15" s="4" t="s">
        <v>5</v>
      </c>
      <c r="BI15" s="4" t="str">
        <f t="shared" si="7"/>
        <v>Sim</v>
      </c>
      <c r="BJ15" s="4" t="s">
        <v>17</v>
      </c>
      <c r="BK15" s="4" t="str">
        <f t="shared" si="8"/>
        <v>N</v>
      </c>
      <c r="BL15" s="4" t="s">
        <v>17</v>
      </c>
      <c r="BM15" s="4" t="str">
        <f t="shared" si="9"/>
        <v>N</v>
      </c>
      <c r="BN15" s="4" t="s">
        <v>17</v>
      </c>
      <c r="BO15" s="4" t="str">
        <f t="shared" si="10"/>
        <v>N</v>
      </c>
      <c r="BP15" s="4" t="s">
        <v>5</v>
      </c>
      <c r="BQ15" s="4" t="str">
        <f t="shared" si="11"/>
        <v>Sim</v>
      </c>
      <c r="BR15" s="4" t="s">
        <v>5</v>
      </c>
      <c r="BS15" s="4" t="str">
        <f t="shared" si="12"/>
        <v>Sim</v>
      </c>
      <c r="BT15" s="4" t="s">
        <v>5</v>
      </c>
      <c r="BU15" s="4" t="str">
        <f t="shared" si="13"/>
        <v>Sim</v>
      </c>
      <c r="BV15" s="4" t="s">
        <v>3</v>
      </c>
      <c r="BW15" s="4" t="str">
        <f t="shared" si="14"/>
        <v>Sim</v>
      </c>
      <c r="BX15" s="4" t="s">
        <v>5</v>
      </c>
      <c r="BY15" s="4" t="str">
        <f t="shared" si="15"/>
        <v>Sim</v>
      </c>
      <c r="BZ15" s="4" t="s">
        <v>5</v>
      </c>
      <c r="CA15" s="4" t="str">
        <f t="shared" si="16"/>
        <v>Sim</v>
      </c>
    </row>
    <row r="16" spans="2:81">
      <c r="B16" s="46" t="s">
        <v>77</v>
      </c>
      <c r="C16" s="13" t="s">
        <v>78</v>
      </c>
      <c r="D16" s="54" t="s">
        <v>91</v>
      </c>
      <c r="E16" s="6" t="s">
        <v>3</v>
      </c>
      <c r="F16" s="4">
        <v>0</v>
      </c>
      <c r="G16" s="4" t="s">
        <v>3</v>
      </c>
      <c r="H16" s="4">
        <v>0</v>
      </c>
      <c r="I16" s="4" t="s">
        <v>5</v>
      </c>
      <c r="J16" s="4">
        <v>0</v>
      </c>
      <c r="K16" s="4" t="s">
        <v>7</v>
      </c>
      <c r="L16" s="5">
        <v>1</v>
      </c>
      <c r="M16" s="7"/>
      <c r="N16" s="6" t="s">
        <v>3</v>
      </c>
      <c r="O16" s="4">
        <v>0</v>
      </c>
      <c r="P16" s="4" t="s">
        <v>3</v>
      </c>
      <c r="Q16" s="4">
        <v>0</v>
      </c>
      <c r="R16" s="4" t="s">
        <v>5</v>
      </c>
      <c r="S16" s="4">
        <v>0</v>
      </c>
      <c r="T16" s="4" t="s">
        <v>7</v>
      </c>
      <c r="U16" s="5">
        <v>1</v>
      </c>
      <c r="V16" s="7"/>
      <c r="W16" s="6" t="s">
        <v>17</v>
      </c>
      <c r="X16" s="4" t="s">
        <v>17</v>
      </c>
      <c r="Y16" s="4" t="s">
        <v>17</v>
      </c>
      <c r="Z16" s="4" t="s">
        <v>17</v>
      </c>
      <c r="AA16" s="4" t="s">
        <v>17</v>
      </c>
      <c r="AB16" s="4" t="s">
        <v>17</v>
      </c>
      <c r="AC16" s="4" t="s">
        <v>17</v>
      </c>
      <c r="AD16" s="5" t="s">
        <v>17</v>
      </c>
      <c r="AE16" s="7"/>
      <c r="AF16" s="6" t="s">
        <v>17</v>
      </c>
      <c r="AG16" s="4" t="s">
        <v>17</v>
      </c>
      <c r="AH16" s="4" t="s">
        <v>17</v>
      </c>
      <c r="AI16" s="4" t="s">
        <v>17</v>
      </c>
      <c r="AJ16" s="4" t="s">
        <v>17</v>
      </c>
      <c r="AK16" s="4" t="s">
        <v>17</v>
      </c>
      <c r="AL16" s="4" t="s">
        <v>17</v>
      </c>
      <c r="AM16" s="5" t="s">
        <v>17</v>
      </c>
      <c r="AN16" s="7"/>
      <c r="AO16" s="6" t="s">
        <v>13</v>
      </c>
      <c r="AP16" s="4" t="s">
        <v>13</v>
      </c>
      <c r="AQ16" s="4" t="s">
        <v>15</v>
      </c>
      <c r="AR16" s="5" t="s">
        <v>15</v>
      </c>
      <c r="AT16" s="4" t="s">
        <v>5</v>
      </c>
      <c r="AU16" s="4" t="str">
        <f t="shared" si="0"/>
        <v>Sim</v>
      </c>
      <c r="AV16" s="4" t="s">
        <v>5</v>
      </c>
      <c r="AW16" s="4" t="str">
        <f t="shared" si="1"/>
        <v>Sim</v>
      </c>
      <c r="AX16" s="4" t="s">
        <v>5</v>
      </c>
      <c r="AY16" s="4" t="str">
        <f t="shared" si="2"/>
        <v>Sim</v>
      </c>
      <c r="AZ16" s="4" t="s">
        <v>5</v>
      </c>
      <c r="BA16" s="4" t="str">
        <f t="shared" si="3"/>
        <v>Sim</v>
      </c>
      <c r="BB16" s="4" t="s">
        <v>17</v>
      </c>
      <c r="BC16" s="4" t="str">
        <f t="shared" si="4"/>
        <v>N</v>
      </c>
      <c r="BD16" s="4" t="s">
        <v>17</v>
      </c>
      <c r="BE16" s="4" t="str">
        <f t="shared" si="5"/>
        <v>N</v>
      </c>
      <c r="BF16" s="4" t="s">
        <v>17</v>
      </c>
      <c r="BG16" s="4" t="str">
        <f t="shared" si="6"/>
        <v>N</v>
      </c>
      <c r="BH16" s="4" t="s">
        <v>5</v>
      </c>
      <c r="BI16" s="4" t="str">
        <f t="shared" si="7"/>
        <v>Sim</v>
      </c>
      <c r="BJ16" s="4" t="s">
        <v>17</v>
      </c>
      <c r="BK16" s="4" t="str">
        <f t="shared" si="8"/>
        <v>N</v>
      </c>
      <c r="BL16" s="4" t="s">
        <v>17</v>
      </c>
      <c r="BM16" s="4" t="str">
        <f t="shared" si="9"/>
        <v>N</v>
      </c>
      <c r="BN16" s="4" t="s">
        <v>17</v>
      </c>
      <c r="BO16" s="4" t="str">
        <f t="shared" si="10"/>
        <v>N</v>
      </c>
      <c r="BP16" s="4" t="s">
        <v>5</v>
      </c>
      <c r="BQ16" s="4" t="str">
        <f t="shared" si="11"/>
        <v>Sim</v>
      </c>
      <c r="BR16" s="4" t="s">
        <v>5</v>
      </c>
      <c r="BS16" s="4" t="str">
        <f t="shared" si="12"/>
        <v>Sim</v>
      </c>
      <c r="BT16" s="4" t="s">
        <v>3</v>
      </c>
      <c r="BU16" s="4" t="str">
        <f t="shared" si="13"/>
        <v>Sim</v>
      </c>
      <c r="BV16" s="4" t="s">
        <v>5</v>
      </c>
      <c r="BW16" s="4" t="str">
        <f t="shared" si="14"/>
        <v>Sim</v>
      </c>
      <c r="BX16" s="4" t="s">
        <v>5</v>
      </c>
      <c r="BY16" s="4" t="str">
        <f t="shared" si="15"/>
        <v>Sim</v>
      </c>
      <c r="BZ16" s="4" t="s">
        <v>5</v>
      </c>
      <c r="CA16" s="4" t="str">
        <f t="shared" si="16"/>
        <v>Sim</v>
      </c>
    </row>
    <row r="17" spans="2:79">
      <c r="B17" s="45" t="s">
        <v>77</v>
      </c>
      <c r="C17" s="44" t="s">
        <v>87</v>
      </c>
      <c r="D17" s="53" t="s">
        <v>92</v>
      </c>
      <c r="E17" s="6" t="s">
        <v>3</v>
      </c>
      <c r="F17" s="4">
        <v>0</v>
      </c>
      <c r="G17" s="4" t="s">
        <v>3</v>
      </c>
      <c r="H17" s="4">
        <v>1</v>
      </c>
      <c r="I17" s="4" t="s">
        <v>5</v>
      </c>
      <c r="J17" s="4">
        <v>1</v>
      </c>
      <c r="K17" s="4" t="s">
        <v>5</v>
      </c>
      <c r="L17" s="5">
        <v>1</v>
      </c>
      <c r="M17" s="7"/>
      <c r="N17" s="6" t="s">
        <v>3</v>
      </c>
      <c r="O17" s="4">
        <v>0</v>
      </c>
      <c r="P17" s="4" t="s">
        <v>3</v>
      </c>
      <c r="Q17" s="4">
        <v>1</v>
      </c>
      <c r="R17" s="4" t="s">
        <v>5</v>
      </c>
      <c r="S17" s="4">
        <v>1</v>
      </c>
      <c r="T17" s="4" t="s">
        <v>5</v>
      </c>
      <c r="U17" s="5">
        <v>1</v>
      </c>
      <c r="V17" s="7"/>
      <c r="W17" s="6" t="s">
        <v>3</v>
      </c>
      <c r="X17" s="4">
        <v>0</v>
      </c>
      <c r="Y17" s="4" t="s">
        <v>3</v>
      </c>
      <c r="Z17" s="4">
        <v>0</v>
      </c>
      <c r="AA17" s="4" t="s">
        <v>5</v>
      </c>
      <c r="AB17" s="4">
        <v>0</v>
      </c>
      <c r="AC17" s="4" t="s">
        <v>5</v>
      </c>
      <c r="AD17" s="5">
        <v>0</v>
      </c>
      <c r="AE17" s="7"/>
      <c r="AF17" s="6" t="s">
        <v>3</v>
      </c>
      <c r="AG17" s="4">
        <v>0</v>
      </c>
      <c r="AH17" s="4" t="s">
        <v>3</v>
      </c>
      <c r="AI17" s="4">
        <v>1</v>
      </c>
      <c r="AJ17" s="4" t="s">
        <v>5</v>
      </c>
      <c r="AK17" s="4">
        <v>1</v>
      </c>
      <c r="AL17" s="4" t="s">
        <v>5</v>
      </c>
      <c r="AM17" s="5">
        <v>1</v>
      </c>
      <c r="AN17" s="7"/>
      <c r="AO17" s="6" t="s">
        <v>13</v>
      </c>
      <c r="AP17" s="4" t="s">
        <v>13</v>
      </c>
      <c r="AQ17" s="4" t="s">
        <v>13</v>
      </c>
      <c r="AR17" s="5" t="s">
        <v>13</v>
      </c>
      <c r="AT17" s="4" t="s">
        <v>5</v>
      </c>
      <c r="AU17" s="4" t="str">
        <f t="shared" si="0"/>
        <v>Sim</v>
      </c>
      <c r="AV17" s="4" t="s">
        <v>5</v>
      </c>
      <c r="AW17" s="4" t="str">
        <f t="shared" si="1"/>
        <v>Sim</v>
      </c>
      <c r="AX17" s="4" t="s">
        <v>5</v>
      </c>
      <c r="AY17" s="4" t="str">
        <f t="shared" si="2"/>
        <v>Sim</v>
      </c>
      <c r="AZ17" s="4" t="s">
        <v>5</v>
      </c>
      <c r="BA17" s="4" t="str">
        <f t="shared" si="3"/>
        <v>Sim</v>
      </c>
      <c r="BB17" s="4" t="s">
        <v>5</v>
      </c>
      <c r="BC17" s="4" t="str">
        <f t="shared" si="4"/>
        <v>Sim</v>
      </c>
      <c r="BD17" s="4" t="s">
        <v>5</v>
      </c>
      <c r="BE17" s="4" t="str">
        <f t="shared" si="5"/>
        <v>Sim</v>
      </c>
      <c r="BF17" s="4" t="s">
        <v>5</v>
      </c>
      <c r="BG17" s="4" t="str">
        <f t="shared" si="6"/>
        <v>Sim</v>
      </c>
      <c r="BH17" s="4" t="s">
        <v>5</v>
      </c>
      <c r="BI17" s="4" t="str">
        <f t="shared" si="7"/>
        <v>Sim</v>
      </c>
      <c r="BJ17" s="4" t="s">
        <v>3</v>
      </c>
      <c r="BK17" s="4" t="str">
        <f t="shared" si="8"/>
        <v>Sim</v>
      </c>
      <c r="BL17" s="4" t="s">
        <v>3</v>
      </c>
      <c r="BM17" s="4" t="str">
        <f t="shared" si="9"/>
        <v>Sim</v>
      </c>
      <c r="BN17" s="4" t="s">
        <v>5</v>
      </c>
      <c r="BO17" s="4" t="str">
        <f t="shared" si="10"/>
        <v>Sim</v>
      </c>
      <c r="BP17" s="4" t="s">
        <v>5</v>
      </c>
      <c r="BQ17" s="4" t="str">
        <f t="shared" si="11"/>
        <v>Sim</v>
      </c>
      <c r="BR17" s="4" t="s">
        <v>7</v>
      </c>
      <c r="BS17" s="4" t="str">
        <f t="shared" si="12"/>
        <v>Sim</v>
      </c>
      <c r="BT17" s="4" t="s">
        <v>5</v>
      </c>
      <c r="BU17" s="4" t="str">
        <f t="shared" si="13"/>
        <v>Sim</v>
      </c>
      <c r="BV17" s="4" t="s">
        <v>5</v>
      </c>
      <c r="BW17" s="4" t="str">
        <f t="shared" si="14"/>
        <v>Sim</v>
      </c>
      <c r="BX17" s="4" t="s">
        <v>5</v>
      </c>
      <c r="BY17" s="4" t="str">
        <f t="shared" si="15"/>
        <v>Sim</v>
      </c>
      <c r="BZ17" s="4" t="s">
        <v>7</v>
      </c>
      <c r="CA17" s="4" t="str">
        <f t="shared" si="16"/>
        <v>Sim</v>
      </c>
    </row>
    <row r="18" spans="2:79">
      <c r="B18" s="46" t="s">
        <v>77</v>
      </c>
      <c r="C18" s="13" t="s">
        <v>87</v>
      </c>
      <c r="D18" s="54" t="s">
        <v>93</v>
      </c>
      <c r="E18" s="6" t="s">
        <v>3</v>
      </c>
      <c r="F18" s="4">
        <v>0</v>
      </c>
      <c r="G18" s="4" t="s">
        <v>3</v>
      </c>
      <c r="H18" s="4">
        <v>0</v>
      </c>
      <c r="I18" s="4" t="s">
        <v>5</v>
      </c>
      <c r="J18" s="4">
        <v>1</v>
      </c>
      <c r="K18" s="4" t="s">
        <v>5</v>
      </c>
      <c r="L18" s="5">
        <v>1</v>
      </c>
      <c r="M18" s="7"/>
      <c r="N18" s="6" t="s">
        <v>3</v>
      </c>
      <c r="O18" s="4">
        <v>0</v>
      </c>
      <c r="P18" s="4" t="s">
        <v>3</v>
      </c>
      <c r="Q18" s="4">
        <v>0</v>
      </c>
      <c r="R18" s="4" t="s">
        <v>3</v>
      </c>
      <c r="S18" s="4">
        <v>1</v>
      </c>
      <c r="T18" s="4" t="s">
        <v>5</v>
      </c>
      <c r="U18" s="5">
        <v>1</v>
      </c>
      <c r="V18" s="7"/>
      <c r="W18" s="6" t="s">
        <v>17</v>
      </c>
      <c r="X18" s="4" t="s">
        <v>17</v>
      </c>
      <c r="Y18" s="4" t="s">
        <v>3</v>
      </c>
      <c r="Z18" s="4">
        <v>0</v>
      </c>
      <c r="AA18" s="4" t="s">
        <v>3</v>
      </c>
      <c r="AB18" s="4">
        <v>1</v>
      </c>
      <c r="AC18" s="4" t="s">
        <v>5</v>
      </c>
      <c r="AD18" s="5">
        <v>1</v>
      </c>
      <c r="AE18" s="7"/>
      <c r="AF18" s="6" t="s">
        <v>3</v>
      </c>
      <c r="AG18" s="4">
        <v>0</v>
      </c>
      <c r="AH18" s="4" t="s">
        <v>3</v>
      </c>
      <c r="AI18" s="4">
        <v>1</v>
      </c>
      <c r="AJ18" s="4" t="s">
        <v>5</v>
      </c>
      <c r="AK18" s="4">
        <v>1</v>
      </c>
      <c r="AL18" s="4" t="s">
        <v>5</v>
      </c>
      <c r="AM18" s="5">
        <v>1</v>
      </c>
      <c r="AN18" s="7"/>
      <c r="AO18" s="6" t="s">
        <v>13</v>
      </c>
      <c r="AP18" s="4" t="s">
        <v>13</v>
      </c>
      <c r="AQ18" s="4" t="s">
        <v>13</v>
      </c>
      <c r="AR18" s="5" t="s">
        <v>13</v>
      </c>
      <c r="AT18" s="4" t="s">
        <v>3</v>
      </c>
      <c r="AU18" s="4" t="str">
        <f t="shared" si="0"/>
        <v>Sim</v>
      </c>
      <c r="AV18" s="4" t="s">
        <v>5</v>
      </c>
      <c r="AW18" s="4" t="str">
        <f t="shared" si="1"/>
        <v>Sim</v>
      </c>
      <c r="AX18" s="4" t="s">
        <v>3</v>
      </c>
      <c r="AY18" s="4" t="str">
        <f t="shared" si="2"/>
        <v>Sim</v>
      </c>
      <c r="AZ18" s="4" t="s">
        <v>3</v>
      </c>
      <c r="BA18" s="4" t="str">
        <f t="shared" si="3"/>
        <v>Sim</v>
      </c>
      <c r="BB18" s="4" t="s">
        <v>5</v>
      </c>
      <c r="BC18" s="4" t="str">
        <f t="shared" si="4"/>
        <v>Sim</v>
      </c>
      <c r="BD18" s="4" t="s">
        <v>5</v>
      </c>
      <c r="BE18" s="4" t="str">
        <f t="shared" si="5"/>
        <v>Sim</v>
      </c>
      <c r="BF18" s="4" t="s">
        <v>3</v>
      </c>
      <c r="BG18" s="4" t="str">
        <f t="shared" si="6"/>
        <v>Sim</v>
      </c>
      <c r="BH18" s="4" t="s">
        <v>5</v>
      </c>
      <c r="BI18" s="4" t="str">
        <f t="shared" si="7"/>
        <v>Sim</v>
      </c>
      <c r="BJ18" s="4" t="s">
        <v>1</v>
      </c>
      <c r="BK18" s="4" t="str">
        <f t="shared" si="8"/>
        <v>Sim</v>
      </c>
      <c r="BL18" s="4" t="s">
        <v>1</v>
      </c>
      <c r="BM18" s="4" t="str">
        <f t="shared" si="9"/>
        <v>Sim</v>
      </c>
      <c r="BN18" s="4" t="s">
        <v>5</v>
      </c>
      <c r="BO18" s="4" t="str">
        <f t="shared" si="10"/>
        <v>Sim</v>
      </c>
      <c r="BP18" s="4" t="s">
        <v>3</v>
      </c>
      <c r="BQ18" s="4" t="str">
        <f t="shared" si="11"/>
        <v>Sim</v>
      </c>
      <c r="BR18" s="4" t="s">
        <v>7</v>
      </c>
      <c r="BS18" s="4" t="str">
        <f t="shared" si="12"/>
        <v>Sim</v>
      </c>
      <c r="BT18" s="4" t="s">
        <v>1</v>
      </c>
      <c r="BU18" s="4" t="str">
        <f t="shared" si="13"/>
        <v>Sim</v>
      </c>
      <c r="BV18" s="4" t="s">
        <v>3</v>
      </c>
      <c r="BW18" s="4" t="str">
        <f t="shared" si="14"/>
        <v>Sim</v>
      </c>
      <c r="BX18" s="4" t="s">
        <v>3</v>
      </c>
      <c r="BY18" s="4" t="str">
        <f t="shared" si="15"/>
        <v>Sim</v>
      </c>
      <c r="BZ18" s="4" t="s">
        <v>7</v>
      </c>
      <c r="CA18" s="4" t="str">
        <f t="shared" si="16"/>
        <v>Sim</v>
      </c>
    </row>
    <row r="19" spans="2:79">
      <c r="B19" s="45" t="s">
        <v>77</v>
      </c>
      <c r="C19" s="44" t="s">
        <v>78</v>
      </c>
      <c r="D19" s="53" t="s">
        <v>94</v>
      </c>
      <c r="E19" s="6" t="s">
        <v>3</v>
      </c>
      <c r="F19" s="4">
        <v>1</v>
      </c>
      <c r="G19" s="4" t="s">
        <v>3</v>
      </c>
      <c r="H19" s="4">
        <v>1</v>
      </c>
      <c r="I19" s="4" t="s">
        <v>5</v>
      </c>
      <c r="J19" s="4">
        <v>1</v>
      </c>
      <c r="K19" s="4" t="s">
        <v>7</v>
      </c>
      <c r="L19" s="5">
        <v>1</v>
      </c>
      <c r="M19" s="7"/>
      <c r="N19" s="6" t="s">
        <v>3</v>
      </c>
      <c r="O19" s="4">
        <v>0</v>
      </c>
      <c r="P19" s="4" t="s">
        <v>3</v>
      </c>
      <c r="Q19" s="4">
        <v>0</v>
      </c>
      <c r="R19" s="4" t="s">
        <v>3</v>
      </c>
      <c r="S19" s="4">
        <v>0</v>
      </c>
      <c r="T19" s="4" t="s">
        <v>5</v>
      </c>
      <c r="U19" s="5">
        <v>1</v>
      </c>
      <c r="V19" s="7"/>
      <c r="W19" s="6" t="s">
        <v>17</v>
      </c>
      <c r="X19" s="4" t="s">
        <v>17</v>
      </c>
      <c r="Y19" s="4" t="s">
        <v>17</v>
      </c>
      <c r="Z19" s="4" t="s">
        <v>17</v>
      </c>
      <c r="AA19" s="4" t="s">
        <v>17</v>
      </c>
      <c r="AB19" s="4" t="s">
        <v>17</v>
      </c>
      <c r="AC19" s="4" t="s">
        <v>17</v>
      </c>
      <c r="AD19" s="5" t="s">
        <v>17</v>
      </c>
      <c r="AE19" s="7"/>
      <c r="AF19" s="6" t="s">
        <v>17</v>
      </c>
      <c r="AG19" s="4" t="s">
        <v>17</v>
      </c>
      <c r="AH19" s="4" t="s">
        <v>17</v>
      </c>
      <c r="AI19" s="4" t="s">
        <v>17</v>
      </c>
      <c r="AJ19" s="4" t="s">
        <v>17</v>
      </c>
      <c r="AK19" s="4" t="s">
        <v>17</v>
      </c>
      <c r="AL19" s="4" t="s">
        <v>17</v>
      </c>
      <c r="AM19" s="5" t="s">
        <v>17</v>
      </c>
      <c r="AN19" s="7"/>
      <c r="AO19" s="6" t="s">
        <v>13</v>
      </c>
      <c r="AP19" s="4" t="s">
        <v>13</v>
      </c>
      <c r="AQ19" s="4" t="s">
        <v>15</v>
      </c>
      <c r="AR19" s="5" t="s">
        <v>15</v>
      </c>
      <c r="AT19" s="4" t="s">
        <v>5</v>
      </c>
      <c r="AU19" s="4" t="str">
        <f t="shared" si="0"/>
        <v>Sim</v>
      </c>
      <c r="AV19" s="4" t="s">
        <v>5</v>
      </c>
      <c r="AW19" s="4" t="str">
        <f t="shared" si="1"/>
        <v>Sim</v>
      </c>
      <c r="AX19" s="4" t="s">
        <v>5</v>
      </c>
      <c r="AY19" s="4" t="str">
        <f t="shared" si="2"/>
        <v>Sim</v>
      </c>
      <c r="AZ19" s="4" t="s">
        <v>5</v>
      </c>
      <c r="BA19" s="4" t="str">
        <f t="shared" si="3"/>
        <v>Sim</v>
      </c>
      <c r="BB19" s="4" t="s">
        <v>17</v>
      </c>
      <c r="BC19" s="4" t="str">
        <f t="shared" si="4"/>
        <v>N</v>
      </c>
      <c r="BD19" s="4" t="s">
        <v>17</v>
      </c>
      <c r="BE19" s="4" t="str">
        <f t="shared" si="5"/>
        <v>N</v>
      </c>
      <c r="BF19" s="4" t="s">
        <v>17</v>
      </c>
      <c r="BG19" s="4" t="str">
        <f t="shared" si="6"/>
        <v>N</v>
      </c>
      <c r="BH19" s="4" t="s">
        <v>5</v>
      </c>
      <c r="BI19" s="4" t="str">
        <f t="shared" si="7"/>
        <v>Sim</v>
      </c>
      <c r="BJ19" s="4" t="s">
        <v>17</v>
      </c>
      <c r="BK19" s="4" t="str">
        <f t="shared" si="8"/>
        <v>N</v>
      </c>
      <c r="BL19" s="4" t="s">
        <v>17</v>
      </c>
      <c r="BM19" s="4" t="str">
        <f t="shared" si="9"/>
        <v>N</v>
      </c>
      <c r="BN19" s="4" t="s">
        <v>17</v>
      </c>
      <c r="BO19" s="4" t="str">
        <f t="shared" si="10"/>
        <v>N</v>
      </c>
      <c r="BP19" s="4" t="s">
        <v>5</v>
      </c>
      <c r="BQ19" s="4" t="str">
        <f t="shared" si="11"/>
        <v>Sim</v>
      </c>
      <c r="BR19" s="4" t="s">
        <v>5</v>
      </c>
      <c r="BS19" s="4" t="str">
        <f t="shared" si="12"/>
        <v>Sim</v>
      </c>
      <c r="BT19" s="4" t="s">
        <v>5</v>
      </c>
      <c r="BU19" s="4" t="str">
        <f t="shared" si="13"/>
        <v>Sim</v>
      </c>
      <c r="BV19" s="4" t="s">
        <v>5</v>
      </c>
      <c r="BW19" s="4" t="str">
        <f t="shared" si="14"/>
        <v>Sim</v>
      </c>
      <c r="BX19" s="4" t="s">
        <v>5</v>
      </c>
      <c r="BY19" s="4" t="str">
        <f t="shared" si="15"/>
        <v>Sim</v>
      </c>
      <c r="BZ19" s="4" t="s">
        <v>5</v>
      </c>
      <c r="CA19" s="4" t="str">
        <f t="shared" si="16"/>
        <v>Sim</v>
      </c>
    </row>
    <row r="20" spans="2:79">
      <c r="B20" s="46" t="s">
        <v>77</v>
      </c>
      <c r="C20" s="13" t="s">
        <v>87</v>
      </c>
      <c r="D20" s="54" t="s">
        <v>95</v>
      </c>
      <c r="E20" s="6" t="s">
        <v>3</v>
      </c>
      <c r="F20" s="4">
        <v>0</v>
      </c>
      <c r="G20" s="4" t="s">
        <v>3</v>
      </c>
      <c r="H20" s="4">
        <v>0</v>
      </c>
      <c r="I20" s="4" t="s">
        <v>5</v>
      </c>
      <c r="J20" s="4">
        <v>1</v>
      </c>
      <c r="K20" s="4" t="s">
        <v>5</v>
      </c>
      <c r="L20" s="5">
        <v>1</v>
      </c>
      <c r="M20" s="7"/>
      <c r="N20" s="6" t="s">
        <v>17</v>
      </c>
      <c r="O20" s="4" t="s">
        <v>17</v>
      </c>
      <c r="P20" s="4" t="s">
        <v>17</v>
      </c>
      <c r="Q20" s="4" t="s">
        <v>17</v>
      </c>
      <c r="R20" s="4" t="s">
        <v>17</v>
      </c>
      <c r="S20" s="4" t="s">
        <v>17</v>
      </c>
      <c r="T20" s="4" t="s">
        <v>17</v>
      </c>
      <c r="U20" s="5" t="s">
        <v>17</v>
      </c>
      <c r="V20" s="7"/>
      <c r="W20" s="6" t="s">
        <v>17</v>
      </c>
      <c r="X20" s="4" t="s">
        <v>17</v>
      </c>
      <c r="Y20" s="4" t="s">
        <v>17</v>
      </c>
      <c r="Z20" s="4" t="s">
        <v>17</v>
      </c>
      <c r="AA20" s="4" t="s">
        <v>17</v>
      </c>
      <c r="AB20" s="4" t="s">
        <v>17</v>
      </c>
      <c r="AC20" s="4" t="s">
        <v>17</v>
      </c>
      <c r="AD20" s="5" t="s">
        <v>17</v>
      </c>
      <c r="AE20" s="7"/>
      <c r="AF20" s="6" t="s">
        <v>3</v>
      </c>
      <c r="AG20" s="4">
        <v>0</v>
      </c>
      <c r="AH20" s="4" t="s">
        <v>3</v>
      </c>
      <c r="AI20" s="4">
        <v>0</v>
      </c>
      <c r="AJ20" s="4" t="s">
        <v>3</v>
      </c>
      <c r="AK20" s="4">
        <v>0</v>
      </c>
      <c r="AL20" s="4" t="s">
        <v>3</v>
      </c>
      <c r="AM20" s="5">
        <v>0</v>
      </c>
      <c r="AN20" s="7"/>
      <c r="AO20" s="6" t="s">
        <v>13</v>
      </c>
      <c r="AP20" s="4" t="s">
        <v>15</v>
      </c>
      <c r="AQ20" s="4" t="s">
        <v>15</v>
      </c>
      <c r="AR20" s="5" t="s">
        <v>13</v>
      </c>
      <c r="AT20" s="4" t="s">
        <v>17</v>
      </c>
      <c r="AU20" s="4" t="str">
        <f t="shared" si="0"/>
        <v>N</v>
      </c>
      <c r="AV20" s="4" t="s">
        <v>5</v>
      </c>
      <c r="AW20" s="4" t="str">
        <f t="shared" si="1"/>
        <v>Sim</v>
      </c>
      <c r="AX20" s="4" t="s">
        <v>5</v>
      </c>
      <c r="AY20" s="4" t="str">
        <f t="shared" si="2"/>
        <v>N</v>
      </c>
      <c r="AZ20" s="4" t="s">
        <v>3</v>
      </c>
      <c r="BA20" s="4" t="str">
        <f t="shared" si="3"/>
        <v>Sim</v>
      </c>
      <c r="BB20" s="4" t="s">
        <v>3</v>
      </c>
      <c r="BC20" s="4" t="str">
        <f t="shared" si="4"/>
        <v>Sim</v>
      </c>
      <c r="BD20" s="4" t="s">
        <v>17</v>
      </c>
      <c r="BE20" s="4" t="str">
        <f t="shared" si="5"/>
        <v>N</v>
      </c>
      <c r="BF20" s="4" t="s">
        <v>17</v>
      </c>
      <c r="BG20" s="4" t="str">
        <f t="shared" si="6"/>
        <v>N</v>
      </c>
      <c r="BH20" s="4" t="s">
        <v>7</v>
      </c>
      <c r="BI20" s="4" t="str">
        <f t="shared" si="7"/>
        <v>Sim</v>
      </c>
      <c r="BJ20" s="4" t="s">
        <v>17</v>
      </c>
      <c r="BK20" s="4" t="str">
        <f t="shared" si="8"/>
        <v>N</v>
      </c>
      <c r="BL20" s="4" t="s">
        <v>17</v>
      </c>
      <c r="BM20" s="4" t="str">
        <f t="shared" si="9"/>
        <v>N</v>
      </c>
      <c r="BN20" s="4" t="s">
        <v>5</v>
      </c>
      <c r="BO20" s="4" t="str">
        <f t="shared" si="10"/>
        <v>Sim</v>
      </c>
      <c r="BP20" s="4" t="s">
        <v>17</v>
      </c>
      <c r="BQ20" s="4" t="str">
        <f t="shared" si="11"/>
        <v>N</v>
      </c>
      <c r="BR20" s="4" t="s">
        <v>5</v>
      </c>
      <c r="BS20" s="4" t="str">
        <f t="shared" si="12"/>
        <v>Sim</v>
      </c>
      <c r="BT20" s="4" t="s">
        <v>5</v>
      </c>
      <c r="BU20" s="4" t="str">
        <f t="shared" si="13"/>
        <v>Sim</v>
      </c>
      <c r="BV20" s="4" t="s">
        <v>5</v>
      </c>
      <c r="BW20" s="4" t="str">
        <f t="shared" si="14"/>
        <v>Sim</v>
      </c>
      <c r="BX20" s="4" t="s">
        <v>17</v>
      </c>
      <c r="BY20" s="4" t="str">
        <f t="shared" si="15"/>
        <v>N</v>
      </c>
      <c r="BZ20" s="4" t="s">
        <v>5</v>
      </c>
      <c r="CA20" s="4" t="str">
        <f t="shared" si="16"/>
        <v>Sim</v>
      </c>
    </row>
    <row r="21" spans="2:79">
      <c r="B21" s="45" t="s">
        <v>77</v>
      </c>
      <c r="C21" s="44" t="s">
        <v>78</v>
      </c>
      <c r="D21" s="53" t="s">
        <v>96</v>
      </c>
      <c r="E21" s="6" t="s">
        <v>3</v>
      </c>
      <c r="F21" s="4">
        <v>0</v>
      </c>
      <c r="G21" s="4" t="s">
        <v>3</v>
      </c>
      <c r="H21" s="4">
        <v>0</v>
      </c>
      <c r="I21" s="4" t="s">
        <v>3</v>
      </c>
      <c r="J21" s="4">
        <v>0</v>
      </c>
      <c r="K21" s="4" t="s">
        <v>5</v>
      </c>
      <c r="L21" s="5">
        <v>1</v>
      </c>
      <c r="M21" s="7"/>
      <c r="N21" s="6" t="s">
        <v>3</v>
      </c>
      <c r="O21" s="4">
        <v>0</v>
      </c>
      <c r="P21" s="4" t="s">
        <v>3</v>
      </c>
      <c r="Q21" s="4">
        <v>0</v>
      </c>
      <c r="R21" s="4" t="s">
        <v>3</v>
      </c>
      <c r="S21" s="4">
        <v>0</v>
      </c>
      <c r="T21" s="4" t="s">
        <v>5</v>
      </c>
      <c r="U21" s="5">
        <v>1</v>
      </c>
      <c r="V21" s="7"/>
      <c r="W21" s="6" t="s">
        <v>17</v>
      </c>
      <c r="X21" s="4" t="s">
        <v>17</v>
      </c>
      <c r="Y21" s="4" t="s">
        <v>17</v>
      </c>
      <c r="Z21" s="4" t="s">
        <v>17</v>
      </c>
      <c r="AA21" s="4" t="s">
        <v>17</v>
      </c>
      <c r="AB21" s="4" t="s">
        <v>17</v>
      </c>
      <c r="AC21" s="4" t="s">
        <v>17</v>
      </c>
      <c r="AD21" s="5" t="s">
        <v>17</v>
      </c>
      <c r="AE21" s="7"/>
      <c r="AF21" s="6" t="s">
        <v>17</v>
      </c>
      <c r="AG21" s="4" t="s">
        <v>17</v>
      </c>
      <c r="AH21" s="4" t="s">
        <v>17</v>
      </c>
      <c r="AI21" s="4" t="s">
        <v>17</v>
      </c>
      <c r="AJ21" s="4" t="s">
        <v>17</v>
      </c>
      <c r="AK21" s="4" t="s">
        <v>17</v>
      </c>
      <c r="AL21" s="4" t="s">
        <v>17</v>
      </c>
      <c r="AM21" s="5" t="s">
        <v>17</v>
      </c>
      <c r="AN21" s="7"/>
      <c r="AO21" s="6" t="s">
        <v>13</v>
      </c>
      <c r="AP21" s="4" t="s">
        <v>13</v>
      </c>
      <c r="AQ21" s="4" t="s">
        <v>15</v>
      </c>
      <c r="AR21" s="5" t="s">
        <v>15</v>
      </c>
      <c r="AT21" s="4" t="s">
        <v>5</v>
      </c>
      <c r="AU21" s="4" t="str">
        <f t="shared" si="0"/>
        <v>Sim</v>
      </c>
      <c r="AV21" s="4" t="s">
        <v>5</v>
      </c>
      <c r="AW21" s="4" t="str">
        <f t="shared" si="1"/>
        <v>Sim</v>
      </c>
      <c r="AX21" s="4" t="s">
        <v>5</v>
      </c>
      <c r="AY21" s="4" t="str">
        <f t="shared" si="2"/>
        <v>Sim</v>
      </c>
      <c r="AZ21" s="4" t="s">
        <v>3</v>
      </c>
      <c r="BA21" s="4" t="str">
        <f t="shared" si="3"/>
        <v>Sim</v>
      </c>
      <c r="BB21" s="4" t="s">
        <v>17</v>
      </c>
      <c r="BC21" s="4" t="str">
        <f t="shared" si="4"/>
        <v>N</v>
      </c>
      <c r="BD21" s="4" t="s">
        <v>17</v>
      </c>
      <c r="BE21" s="4" t="str">
        <f t="shared" si="5"/>
        <v>N</v>
      </c>
      <c r="BF21" s="4" t="s">
        <v>17</v>
      </c>
      <c r="BG21" s="4" t="str">
        <f t="shared" si="6"/>
        <v>N</v>
      </c>
      <c r="BH21" s="4" t="s">
        <v>97</v>
      </c>
      <c r="BI21" s="4" t="str">
        <f t="shared" si="7"/>
        <v>Sim</v>
      </c>
      <c r="BJ21" s="4" t="s">
        <v>17</v>
      </c>
      <c r="BK21" s="4" t="str">
        <f t="shared" si="8"/>
        <v>N</v>
      </c>
      <c r="BL21" s="4" t="s">
        <v>17</v>
      </c>
      <c r="BM21" s="4" t="str">
        <f t="shared" si="9"/>
        <v>N</v>
      </c>
      <c r="BN21" s="4" t="s">
        <v>17</v>
      </c>
      <c r="BO21" s="4" t="str">
        <f t="shared" si="10"/>
        <v>N</v>
      </c>
      <c r="BP21" s="4" t="s">
        <v>5</v>
      </c>
      <c r="BQ21" s="4" t="str">
        <f t="shared" si="11"/>
        <v>Sim</v>
      </c>
      <c r="BR21" s="4" t="s">
        <v>5</v>
      </c>
      <c r="BS21" s="4" t="str">
        <f t="shared" si="12"/>
        <v>Sim</v>
      </c>
      <c r="BT21" s="4" t="s">
        <v>1</v>
      </c>
      <c r="BU21" s="4" t="str">
        <f t="shared" si="13"/>
        <v>Sim</v>
      </c>
      <c r="BV21" s="4" t="s">
        <v>3</v>
      </c>
      <c r="BW21" s="4" t="str">
        <f t="shared" si="14"/>
        <v>Sim</v>
      </c>
      <c r="BX21" s="4" t="s">
        <v>5</v>
      </c>
      <c r="BY21" s="4" t="str">
        <f t="shared" si="15"/>
        <v>Sim</v>
      </c>
      <c r="BZ21" s="4" t="s">
        <v>7</v>
      </c>
      <c r="CA21" s="4" t="str">
        <f t="shared" si="16"/>
        <v>Sim</v>
      </c>
    </row>
    <row r="22" spans="2:79">
      <c r="B22" s="46" t="s">
        <v>77</v>
      </c>
      <c r="C22" s="13" t="s">
        <v>78</v>
      </c>
      <c r="D22" s="54" t="s">
        <v>98</v>
      </c>
      <c r="E22" s="6" t="s">
        <v>3</v>
      </c>
      <c r="F22" s="4">
        <v>0</v>
      </c>
      <c r="G22" s="4" t="s">
        <v>3</v>
      </c>
      <c r="H22" s="4">
        <v>0</v>
      </c>
      <c r="I22" s="4" t="s">
        <v>5</v>
      </c>
      <c r="J22" s="4">
        <v>1</v>
      </c>
      <c r="K22" s="4" t="s">
        <v>5</v>
      </c>
      <c r="L22" s="5">
        <v>1</v>
      </c>
      <c r="M22" s="7"/>
      <c r="N22" s="6" t="s">
        <v>3</v>
      </c>
      <c r="O22" s="4">
        <v>0</v>
      </c>
      <c r="P22" s="4" t="s">
        <v>3</v>
      </c>
      <c r="Q22" s="4">
        <v>0</v>
      </c>
      <c r="R22" s="4" t="s">
        <v>5</v>
      </c>
      <c r="S22" s="4">
        <v>1</v>
      </c>
      <c r="T22" s="4" t="s">
        <v>5</v>
      </c>
      <c r="U22" s="5">
        <v>1</v>
      </c>
      <c r="V22" s="7"/>
      <c r="W22" s="6" t="s">
        <v>17</v>
      </c>
      <c r="X22" s="4" t="s">
        <v>17</v>
      </c>
      <c r="Y22" s="4" t="s">
        <v>17</v>
      </c>
      <c r="Z22" s="4" t="s">
        <v>17</v>
      </c>
      <c r="AA22" s="4" t="s">
        <v>17</v>
      </c>
      <c r="AB22" s="4" t="s">
        <v>17</v>
      </c>
      <c r="AC22" s="4" t="s">
        <v>17</v>
      </c>
      <c r="AD22" s="5" t="s">
        <v>17</v>
      </c>
      <c r="AE22" s="7"/>
      <c r="AF22" s="6" t="s">
        <v>17</v>
      </c>
      <c r="AG22" s="4" t="s">
        <v>17</v>
      </c>
      <c r="AH22" s="4" t="s">
        <v>17</v>
      </c>
      <c r="AI22" s="4" t="s">
        <v>17</v>
      </c>
      <c r="AJ22" s="4" t="s">
        <v>17</v>
      </c>
      <c r="AK22" s="4" t="s">
        <v>17</v>
      </c>
      <c r="AL22" s="4" t="s">
        <v>17</v>
      </c>
      <c r="AM22" s="5" t="s">
        <v>17</v>
      </c>
      <c r="AN22" s="7"/>
      <c r="AO22" s="6" t="s">
        <v>13</v>
      </c>
      <c r="AP22" s="4" t="s">
        <v>13</v>
      </c>
      <c r="AQ22" s="4" t="s">
        <v>15</v>
      </c>
      <c r="AR22" s="5" t="s">
        <v>15</v>
      </c>
      <c r="AT22" s="4" t="s">
        <v>5</v>
      </c>
      <c r="AU22" s="4" t="str">
        <f t="shared" si="0"/>
        <v>Sim</v>
      </c>
      <c r="AV22" s="4" t="s">
        <v>5</v>
      </c>
      <c r="AW22" s="4" t="str">
        <f t="shared" si="1"/>
        <v>Sim</v>
      </c>
      <c r="AX22" s="4" t="s">
        <v>5</v>
      </c>
      <c r="AY22" s="4" t="str">
        <f t="shared" si="2"/>
        <v>Sim</v>
      </c>
      <c r="AZ22" s="4" t="s">
        <v>1</v>
      </c>
      <c r="BA22" s="4" t="str">
        <f t="shared" si="3"/>
        <v>Sim</v>
      </c>
      <c r="BB22" s="4" t="s">
        <v>17</v>
      </c>
      <c r="BC22" s="4" t="str">
        <f t="shared" si="4"/>
        <v>N</v>
      </c>
      <c r="BD22" s="4" t="s">
        <v>17</v>
      </c>
      <c r="BE22" s="4" t="str">
        <f t="shared" si="5"/>
        <v>N</v>
      </c>
      <c r="BF22" s="4" t="s">
        <v>17</v>
      </c>
      <c r="BG22" s="4" t="str">
        <f t="shared" si="6"/>
        <v>N</v>
      </c>
      <c r="BH22" s="4" t="s">
        <v>5</v>
      </c>
      <c r="BI22" s="4" t="str">
        <f t="shared" si="7"/>
        <v>Sim</v>
      </c>
      <c r="BJ22" s="4" t="s">
        <v>17</v>
      </c>
      <c r="BK22" s="4" t="str">
        <f t="shared" si="8"/>
        <v>N</v>
      </c>
      <c r="BL22" s="4" t="s">
        <v>17</v>
      </c>
      <c r="BM22" s="4" t="str">
        <f t="shared" si="9"/>
        <v>N</v>
      </c>
      <c r="BN22" s="4" t="s">
        <v>17</v>
      </c>
      <c r="BO22" s="4" t="str">
        <f t="shared" si="10"/>
        <v>N</v>
      </c>
      <c r="BP22" s="4" t="s">
        <v>5</v>
      </c>
      <c r="BQ22" s="4" t="str">
        <f t="shared" si="11"/>
        <v>Sim</v>
      </c>
      <c r="BR22" s="4" t="s">
        <v>5</v>
      </c>
      <c r="BS22" s="4" t="str">
        <f t="shared" si="12"/>
        <v>Sim</v>
      </c>
      <c r="BT22" s="4" t="s">
        <v>1</v>
      </c>
      <c r="BU22" s="4" t="str">
        <f t="shared" si="13"/>
        <v>Sim</v>
      </c>
      <c r="BV22" s="4" t="s">
        <v>1</v>
      </c>
      <c r="BW22" s="4" t="str">
        <f t="shared" si="14"/>
        <v>Sim</v>
      </c>
      <c r="BX22" s="4" t="s">
        <v>5</v>
      </c>
      <c r="BY22" s="4" t="str">
        <f t="shared" si="15"/>
        <v>Sim</v>
      </c>
      <c r="BZ22" s="4" t="s">
        <v>1</v>
      </c>
      <c r="CA22" s="4" t="str">
        <f t="shared" si="16"/>
        <v>Sim</v>
      </c>
    </row>
    <row r="23" spans="2:79">
      <c r="B23" s="45" t="s">
        <v>77</v>
      </c>
      <c r="C23" s="44" t="s">
        <v>78</v>
      </c>
      <c r="D23" s="53" t="s">
        <v>99</v>
      </c>
      <c r="E23" s="6" t="s">
        <v>3</v>
      </c>
      <c r="F23" s="4">
        <v>0</v>
      </c>
      <c r="G23" s="4" t="s">
        <v>3</v>
      </c>
      <c r="H23" s="4">
        <v>0</v>
      </c>
      <c r="I23" s="4" t="s">
        <v>5</v>
      </c>
      <c r="J23" s="4">
        <v>1</v>
      </c>
      <c r="K23" s="4" t="s">
        <v>5</v>
      </c>
      <c r="L23" s="5">
        <v>1</v>
      </c>
      <c r="M23" s="7"/>
      <c r="N23" s="6" t="s">
        <v>3</v>
      </c>
      <c r="O23" s="4">
        <v>0</v>
      </c>
      <c r="P23" s="4" t="s">
        <v>3</v>
      </c>
      <c r="Q23" s="4">
        <v>0</v>
      </c>
      <c r="R23" s="4" t="s">
        <v>5</v>
      </c>
      <c r="S23" s="4">
        <v>1</v>
      </c>
      <c r="T23" s="4" t="s">
        <v>7</v>
      </c>
      <c r="U23" s="5">
        <v>1</v>
      </c>
      <c r="V23" s="7"/>
      <c r="W23" s="6" t="s">
        <v>17</v>
      </c>
      <c r="X23" s="4" t="s">
        <v>17</v>
      </c>
      <c r="Y23" s="4" t="s">
        <v>17</v>
      </c>
      <c r="Z23" s="4" t="s">
        <v>17</v>
      </c>
      <c r="AA23" s="4" t="s">
        <v>17</v>
      </c>
      <c r="AB23" s="4" t="s">
        <v>17</v>
      </c>
      <c r="AC23" s="4" t="s">
        <v>17</v>
      </c>
      <c r="AD23" s="5" t="s">
        <v>17</v>
      </c>
      <c r="AE23" s="7"/>
      <c r="AF23" s="6" t="s">
        <v>17</v>
      </c>
      <c r="AG23" s="4" t="s">
        <v>17</v>
      </c>
      <c r="AH23" s="4" t="s">
        <v>17</v>
      </c>
      <c r="AI23" s="4" t="s">
        <v>17</v>
      </c>
      <c r="AJ23" s="4" t="s">
        <v>17</v>
      </c>
      <c r="AK23" s="4" t="s">
        <v>17</v>
      </c>
      <c r="AL23" s="4" t="s">
        <v>17</v>
      </c>
      <c r="AM23" s="5" t="s">
        <v>17</v>
      </c>
      <c r="AN23" s="7"/>
      <c r="AO23" s="6" t="s">
        <v>13</v>
      </c>
      <c r="AP23" s="4" t="s">
        <v>13</v>
      </c>
      <c r="AQ23" s="4" t="s">
        <v>15</v>
      </c>
      <c r="AR23" s="5" t="s">
        <v>15</v>
      </c>
      <c r="AT23" s="4" t="s">
        <v>5</v>
      </c>
      <c r="AU23" s="4" t="str">
        <f t="shared" si="0"/>
        <v>Sim</v>
      </c>
      <c r="AV23" s="4" t="s">
        <v>5</v>
      </c>
      <c r="AW23" s="4" t="str">
        <f t="shared" si="1"/>
        <v>Sim</v>
      </c>
      <c r="AX23" s="4" t="s">
        <v>5</v>
      </c>
      <c r="AY23" s="4" t="str">
        <f t="shared" si="2"/>
        <v>Sim</v>
      </c>
      <c r="AZ23" s="4" t="s">
        <v>7</v>
      </c>
      <c r="BA23" s="4" t="str">
        <f t="shared" si="3"/>
        <v>Sim</v>
      </c>
      <c r="BB23" s="4" t="s">
        <v>17</v>
      </c>
      <c r="BC23" s="4" t="str">
        <f t="shared" si="4"/>
        <v>N</v>
      </c>
      <c r="BD23" s="4" t="s">
        <v>17</v>
      </c>
      <c r="BE23" s="4" t="str">
        <f t="shared" si="5"/>
        <v>N</v>
      </c>
      <c r="BF23" s="4" t="s">
        <v>17</v>
      </c>
      <c r="BG23" s="4" t="str">
        <f t="shared" si="6"/>
        <v>N</v>
      </c>
      <c r="BH23" s="4" t="s">
        <v>5</v>
      </c>
      <c r="BI23" s="4" t="str">
        <f t="shared" si="7"/>
        <v>Sim</v>
      </c>
      <c r="BJ23" s="4" t="s">
        <v>17</v>
      </c>
      <c r="BK23" s="4" t="str">
        <f t="shared" si="8"/>
        <v>N</v>
      </c>
      <c r="BL23" s="4" t="s">
        <v>17</v>
      </c>
      <c r="BM23" s="4" t="str">
        <f t="shared" si="9"/>
        <v>N</v>
      </c>
      <c r="BN23" s="4" t="s">
        <v>17</v>
      </c>
      <c r="BO23" s="4" t="str">
        <f t="shared" si="10"/>
        <v>N</v>
      </c>
      <c r="BP23" s="4" t="s">
        <v>7</v>
      </c>
      <c r="BQ23" s="4" t="str">
        <f t="shared" si="11"/>
        <v>Sim</v>
      </c>
      <c r="BR23" s="4" t="s">
        <v>5</v>
      </c>
      <c r="BS23" s="4" t="str">
        <f t="shared" si="12"/>
        <v>Sim</v>
      </c>
      <c r="BT23" s="4" t="s">
        <v>5</v>
      </c>
      <c r="BU23" s="4" t="str">
        <f t="shared" si="13"/>
        <v>Sim</v>
      </c>
      <c r="BV23" s="4" t="s">
        <v>5</v>
      </c>
      <c r="BW23" s="4" t="str">
        <f t="shared" si="14"/>
        <v>Sim</v>
      </c>
      <c r="BX23" s="4" t="s">
        <v>5</v>
      </c>
      <c r="BY23" s="4" t="str">
        <f t="shared" si="15"/>
        <v>Sim</v>
      </c>
      <c r="BZ23" s="4" t="s">
        <v>3</v>
      </c>
      <c r="CA23" s="4" t="str">
        <f t="shared" si="16"/>
        <v>Sim</v>
      </c>
    </row>
    <row r="24" spans="2:79">
      <c r="B24" s="46" t="s">
        <v>77</v>
      </c>
      <c r="C24" s="13" t="s">
        <v>87</v>
      </c>
      <c r="D24" s="54" t="s">
        <v>100</v>
      </c>
      <c r="E24" s="6" t="s">
        <v>17</v>
      </c>
      <c r="F24" s="4" t="s">
        <v>17</v>
      </c>
      <c r="G24" s="4" t="s">
        <v>17</v>
      </c>
      <c r="H24" s="4" t="s">
        <v>17</v>
      </c>
      <c r="I24" s="4" t="s">
        <v>3</v>
      </c>
      <c r="J24" s="4">
        <v>0</v>
      </c>
      <c r="K24" s="4" t="s">
        <v>5</v>
      </c>
      <c r="L24" s="5">
        <v>1</v>
      </c>
      <c r="M24" s="7"/>
      <c r="N24" s="6" t="s">
        <v>17</v>
      </c>
      <c r="O24" s="4" t="s">
        <v>17</v>
      </c>
      <c r="P24" s="4" t="s">
        <v>17</v>
      </c>
      <c r="Q24" s="4" t="s">
        <v>17</v>
      </c>
      <c r="R24" s="4" t="s">
        <v>3</v>
      </c>
      <c r="S24" s="4">
        <v>0</v>
      </c>
      <c r="T24" s="4" t="s">
        <v>5</v>
      </c>
      <c r="U24" s="5">
        <v>1</v>
      </c>
      <c r="V24" s="7"/>
      <c r="W24" s="6" t="s">
        <v>17</v>
      </c>
      <c r="X24" s="4" t="s">
        <v>17</v>
      </c>
      <c r="Y24" s="4" t="s">
        <v>3</v>
      </c>
      <c r="Z24" s="4">
        <v>0</v>
      </c>
      <c r="AA24" s="4" t="s">
        <v>3</v>
      </c>
      <c r="AB24" s="4">
        <v>0</v>
      </c>
      <c r="AC24" s="4" t="s">
        <v>3</v>
      </c>
      <c r="AD24" s="5">
        <v>0</v>
      </c>
      <c r="AE24" s="7"/>
      <c r="AF24" s="6" t="s">
        <v>17</v>
      </c>
      <c r="AG24" s="4" t="s">
        <v>17</v>
      </c>
      <c r="AH24" s="4" t="s">
        <v>17</v>
      </c>
      <c r="AI24" s="4" t="s">
        <v>17</v>
      </c>
      <c r="AJ24" s="4" t="s">
        <v>3</v>
      </c>
      <c r="AK24" s="4">
        <v>0</v>
      </c>
      <c r="AL24" s="4" t="s">
        <v>5</v>
      </c>
      <c r="AM24" s="5">
        <v>0</v>
      </c>
      <c r="AN24" s="7"/>
      <c r="AO24" s="6" t="s">
        <v>13</v>
      </c>
      <c r="AP24" s="4" t="s">
        <v>13</v>
      </c>
      <c r="AQ24" s="4" t="s">
        <v>13</v>
      </c>
      <c r="AR24" s="5" t="s">
        <v>13</v>
      </c>
      <c r="AT24" s="4" t="s">
        <v>3</v>
      </c>
      <c r="AU24" s="4" t="str">
        <f t="shared" si="0"/>
        <v>N</v>
      </c>
      <c r="AV24" s="4" t="s">
        <v>3</v>
      </c>
      <c r="AW24" s="4" t="str">
        <f t="shared" si="1"/>
        <v>Sim</v>
      </c>
      <c r="AX24" s="4" t="s">
        <v>5</v>
      </c>
      <c r="AY24" s="4" t="str">
        <f t="shared" si="2"/>
        <v>Sim</v>
      </c>
      <c r="AZ24" s="4" t="s">
        <v>3</v>
      </c>
      <c r="BA24" s="4" t="str">
        <f t="shared" si="3"/>
        <v>Sim</v>
      </c>
      <c r="BB24" s="4" t="s">
        <v>5</v>
      </c>
      <c r="BC24" s="4" t="str">
        <f t="shared" si="4"/>
        <v>Sim</v>
      </c>
      <c r="BD24" s="4" t="s">
        <v>3</v>
      </c>
      <c r="BE24" s="4" t="str">
        <f t="shared" si="5"/>
        <v>Sim</v>
      </c>
      <c r="BF24" s="4" t="s">
        <v>1</v>
      </c>
      <c r="BG24" s="4" t="str">
        <f t="shared" si="6"/>
        <v>Sim</v>
      </c>
      <c r="BH24" s="4" t="s">
        <v>3</v>
      </c>
      <c r="BI24" s="4" t="str">
        <f t="shared" si="7"/>
        <v>Sim</v>
      </c>
      <c r="BJ24" s="4" t="s">
        <v>3</v>
      </c>
      <c r="BK24" s="4" t="str">
        <f t="shared" si="8"/>
        <v>Sim</v>
      </c>
      <c r="BL24" s="4" t="s">
        <v>1</v>
      </c>
      <c r="BM24" s="4" t="str">
        <f t="shared" si="9"/>
        <v>Sim</v>
      </c>
      <c r="BN24" s="4" t="s">
        <v>7</v>
      </c>
      <c r="BO24" s="4" t="str">
        <f t="shared" si="10"/>
        <v>Sim</v>
      </c>
      <c r="BP24" s="4" t="s">
        <v>3</v>
      </c>
      <c r="BQ24" s="4" t="str">
        <f t="shared" si="11"/>
        <v>Sim</v>
      </c>
      <c r="BR24" s="4" t="s">
        <v>1</v>
      </c>
      <c r="BS24" s="4" t="str">
        <f t="shared" si="12"/>
        <v>Sim</v>
      </c>
      <c r="BT24" s="4" t="s">
        <v>3</v>
      </c>
      <c r="BU24" s="4" t="str">
        <f t="shared" si="13"/>
        <v>N</v>
      </c>
      <c r="BV24" s="4" t="s">
        <v>1</v>
      </c>
      <c r="BW24" s="4" t="str">
        <f t="shared" si="14"/>
        <v>N</v>
      </c>
      <c r="BX24" s="4" t="s">
        <v>3</v>
      </c>
      <c r="BY24" s="4" t="str">
        <f t="shared" si="15"/>
        <v>N</v>
      </c>
      <c r="BZ24" s="4" t="s">
        <v>1</v>
      </c>
      <c r="CA24" s="4" t="str">
        <f t="shared" si="16"/>
        <v>N</v>
      </c>
    </row>
    <row r="25" spans="2:79">
      <c r="B25" s="45" t="s">
        <v>77</v>
      </c>
      <c r="C25" s="44" t="s">
        <v>78</v>
      </c>
      <c r="D25" s="53" t="s">
        <v>101</v>
      </c>
      <c r="E25" s="6" t="s">
        <v>17</v>
      </c>
      <c r="F25" s="4" t="s">
        <v>17</v>
      </c>
      <c r="G25" s="4" t="s">
        <v>17</v>
      </c>
      <c r="H25" s="4" t="s">
        <v>17</v>
      </c>
      <c r="I25" s="4" t="s">
        <v>17</v>
      </c>
      <c r="J25" s="4" t="s">
        <v>17</v>
      </c>
      <c r="K25" s="4" t="s">
        <v>17</v>
      </c>
      <c r="L25" s="5" t="s">
        <v>17</v>
      </c>
      <c r="M25" s="7"/>
      <c r="N25" s="6" t="s">
        <v>3</v>
      </c>
      <c r="O25" s="4">
        <v>1</v>
      </c>
      <c r="P25" s="4" t="s">
        <v>5</v>
      </c>
      <c r="Q25" s="4">
        <v>1</v>
      </c>
      <c r="R25" s="4" t="s">
        <v>5</v>
      </c>
      <c r="S25" s="4">
        <v>1</v>
      </c>
      <c r="T25" s="4" t="s">
        <v>7</v>
      </c>
      <c r="U25" s="5">
        <v>1</v>
      </c>
      <c r="V25" s="7"/>
      <c r="W25" s="6" t="s">
        <v>17</v>
      </c>
      <c r="X25" s="4" t="s">
        <v>17</v>
      </c>
      <c r="Y25" s="4" t="s">
        <v>17</v>
      </c>
      <c r="Z25" s="4" t="s">
        <v>17</v>
      </c>
      <c r="AA25" s="4" t="s">
        <v>17</v>
      </c>
      <c r="AB25" s="4" t="s">
        <v>17</v>
      </c>
      <c r="AC25" s="4" t="s">
        <v>17</v>
      </c>
      <c r="AD25" s="5" t="s">
        <v>17</v>
      </c>
      <c r="AE25" s="7"/>
      <c r="AF25" s="6" t="s">
        <v>17</v>
      </c>
      <c r="AG25" s="4" t="s">
        <v>17</v>
      </c>
      <c r="AH25" s="4" t="s">
        <v>17</v>
      </c>
      <c r="AI25" s="4" t="s">
        <v>17</v>
      </c>
      <c r="AJ25" s="4" t="s">
        <v>17</v>
      </c>
      <c r="AK25" s="4" t="s">
        <v>17</v>
      </c>
      <c r="AL25" s="4" t="s">
        <v>17</v>
      </c>
      <c r="AM25" s="5" t="s">
        <v>17</v>
      </c>
      <c r="AN25" s="7"/>
      <c r="AO25" s="6" t="s">
        <v>15</v>
      </c>
      <c r="AP25" s="4" t="s">
        <v>13</v>
      </c>
      <c r="AQ25" s="4" t="s">
        <v>15</v>
      </c>
      <c r="AR25" s="5" t="s">
        <v>15</v>
      </c>
      <c r="AT25" s="4" t="s">
        <v>5</v>
      </c>
      <c r="AU25" s="4" t="str">
        <f t="shared" si="0"/>
        <v>Sim</v>
      </c>
      <c r="AV25" s="4" t="s">
        <v>17</v>
      </c>
      <c r="AW25" s="4" t="str">
        <f t="shared" si="1"/>
        <v>N</v>
      </c>
      <c r="AX25" s="4" t="s">
        <v>5</v>
      </c>
      <c r="AY25" s="4" t="str">
        <f t="shared" si="2"/>
        <v>Sim</v>
      </c>
      <c r="AZ25" s="4" t="s">
        <v>17</v>
      </c>
      <c r="BA25" s="4" t="str">
        <f t="shared" si="3"/>
        <v>N</v>
      </c>
      <c r="BB25" s="4" t="s">
        <v>17</v>
      </c>
      <c r="BC25" s="4" t="str">
        <f t="shared" si="4"/>
        <v>N</v>
      </c>
      <c r="BD25" s="4" t="s">
        <v>17</v>
      </c>
      <c r="BE25" s="4" t="str">
        <f t="shared" si="5"/>
        <v>N</v>
      </c>
      <c r="BF25" s="4" t="s">
        <v>17</v>
      </c>
      <c r="BG25" s="4" t="str">
        <f t="shared" si="6"/>
        <v>N</v>
      </c>
      <c r="BH25" s="4" t="s">
        <v>17</v>
      </c>
      <c r="BI25" s="4" t="str">
        <f t="shared" si="7"/>
        <v>N</v>
      </c>
      <c r="BJ25" s="4" t="s">
        <v>17</v>
      </c>
      <c r="BK25" s="4" t="str">
        <f t="shared" si="8"/>
        <v>N</v>
      </c>
      <c r="BL25" s="4" t="s">
        <v>17</v>
      </c>
      <c r="BM25" s="4" t="str">
        <f t="shared" si="9"/>
        <v>N</v>
      </c>
      <c r="BN25" s="4" t="s">
        <v>17</v>
      </c>
      <c r="BO25" s="4" t="str">
        <f t="shared" si="10"/>
        <v>N</v>
      </c>
      <c r="BP25" s="4" t="s">
        <v>7</v>
      </c>
      <c r="BQ25" s="4" t="str">
        <f t="shared" si="11"/>
        <v>Sim</v>
      </c>
      <c r="BR25" s="4" t="s">
        <v>17</v>
      </c>
      <c r="BS25" s="4" t="str">
        <f t="shared" si="12"/>
        <v>N</v>
      </c>
      <c r="BT25" s="4" t="s">
        <v>17</v>
      </c>
      <c r="BU25" s="4" t="str">
        <f t="shared" si="13"/>
        <v>N</v>
      </c>
      <c r="BV25" s="4" t="s">
        <v>17</v>
      </c>
      <c r="BW25" s="4" t="str">
        <f t="shared" si="14"/>
        <v>N</v>
      </c>
      <c r="BX25" s="4" t="s">
        <v>5</v>
      </c>
      <c r="BY25" s="4" t="str">
        <f t="shared" si="15"/>
        <v>Sim</v>
      </c>
      <c r="BZ25" s="4" t="s">
        <v>17</v>
      </c>
      <c r="CA25" s="4" t="str">
        <f t="shared" si="16"/>
        <v>N</v>
      </c>
    </row>
    <row r="26" spans="2:79">
      <c r="B26" s="46" t="s">
        <v>77</v>
      </c>
      <c r="C26" s="13" t="s">
        <v>78</v>
      </c>
      <c r="D26" s="54" t="s">
        <v>102</v>
      </c>
      <c r="E26" s="6" t="s">
        <v>17</v>
      </c>
      <c r="F26" s="4" t="s">
        <v>17</v>
      </c>
      <c r="G26" s="4" t="s">
        <v>17</v>
      </c>
      <c r="H26" s="4" t="s">
        <v>17</v>
      </c>
      <c r="I26" s="4" t="s">
        <v>17</v>
      </c>
      <c r="J26" s="4" t="s">
        <v>17</v>
      </c>
      <c r="K26" s="4" t="s">
        <v>17</v>
      </c>
      <c r="L26" s="5" t="s">
        <v>17</v>
      </c>
      <c r="M26" s="7"/>
      <c r="N26" s="6" t="s">
        <v>3</v>
      </c>
      <c r="O26" s="4">
        <v>0</v>
      </c>
      <c r="P26" s="4" t="s">
        <v>3</v>
      </c>
      <c r="Q26" s="4">
        <v>0</v>
      </c>
      <c r="R26" s="4" t="s">
        <v>3</v>
      </c>
      <c r="S26" s="4">
        <v>0</v>
      </c>
      <c r="T26" s="4" t="s">
        <v>5</v>
      </c>
      <c r="U26" s="5">
        <v>1</v>
      </c>
      <c r="V26" s="7"/>
      <c r="W26" s="6" t="s">
        <v>17</v>
      </c>
      <c r="X26" s="4" t="s">
        <v>17</v>
      </c>
      <c r="Y26" s="4" t="s">
        <v>17</v>
      </c>
      <c r="Z26" s="4" t="s">
        <v>17</v>
      </c>
      <c r="AA26" s="4" t="s">
        <v>17</v>
      </c>
      <c r="AB26" s="4" t="s">
        <v>17</v>
      </c>
      <c r="AC26" s="4" t="s">
        <v>17</v>
      </c>
      <c r="AD26" s="5" t="s">
        <v>17</v>
      </c>
      <c r="AE26" s="7"/>
      <c r="AF26" s="6" t="s">
        <v>17</v>
      </c>
      <c r="AG26" s="4" t="s">
        <v>17</v>
      </c>
      <c r="AH26" s="4" t="s">
        <v>17</v>
      </c>
      <c r="AI26" s="4" t="s">
        <v>17</v>
      </c>
      <c r="AJ26" s="4" t="s">
        <v>17</v>
      </c>
      <c r="AK26" s="4" t="s">
        <v>17</v>
      </c>
      <c r="AL26" s="4" t="s">
        <v>17</v>
      </c>
      <c r="AM26" s="5" t="s">
        <v>17</v>
      </c>
      <c r="AN26" s="7"/>
      <c r="AO26" s="6" t="s">
        <v>15</v>
      </c>
      <c r="AP26" s="4" t="s">
        <v>13</v>
      </c>
      <c r="AQ26" s="4" t="s">
        <v>15</v>
      </c>
      <c r="AR26" s="5" t="s">
        <v>15</v>
      </c>
      <c r="AT26" s="4" t="s">
        <v>5</v>
      </c>
      <c r="AU26" s="4" t="str">
        <f t="shared" si="0"/>
        <v>Sim</v>
      </c>
      <c r="AV26" s="4" t="s">
        <v>17</v>
      </c>
      <c r="AW26" s="4" t="str">
        <f t="shared" si="1"/>
        <v>N</v>
      </c>
      <c r="AX26" s="4" t="s">
        <v>7</v>
      </c>
      <c r="AY26" s="4" t="str">
        <f t="shared" si="2"/>
        <v>Sim</v>
      </c>
      <c r="AZ26" s="4" t="s">
        <v>17</v>
      </c>
      <c r="BA26" s="4" t="str">
        <f t="shared" si="3"/>
        <v>N</v>
      </c>
      <c r="BB26" s="4" t="s">
        <v>17</v>
      </c>
      <c r="BC26" s="4" t="str">
        <f t="shared" si="4"/>
        <v>N</v>
      </c>
      <c r="BD26" s="4" t="s">
        <v>17</v>
      </c>
      <c r="BE26" s="4" t="str">
        <f t="shared" si="5"/>
        <v>N</v>
      </c>
      <c r="BF26" s="4" t="s">
        <v>17</v>
      </c>
      <c r="BG26" s="4" t="str">
        <f t="shared" si="6"/>
        <v>N</v>
      </c>
      <c r="BH26" s="4" t="s">
        <v>17</v>
      </c>
      <c r="BI26" s="4" t="str">
        <f t="shared" si="7"/>
        <v>N</v>
      </c>
      <c r="BJ26" s="4" t="s">
        <v>17</v>
      </c>
      <c r="BK26" s="4" t="str">
        <f t="shared" si="8"/>
        <v>N</v>
      </c>
      <c r="BL26" s="4" t="s">
        <v>17</v>
      </c>
      <c r="BM26" s="4" t="str">
        <f t="shared" si="9"/>
        <v>N</v>
      </c>
      <c r="BN26" s="4" t="s">
        <v>17</v>
      </c>
      <c r="BO26" s="4" t="str">
        <f t="shared" si="10"/>
        <v>N</v>
      </c>
      <c r="BP26" s="4" t="s">
        <v>5</v>
      </c>
      <c r="BQ26" s="4" t="str">
        <f t="shared" si="11"/>
        <v>Sim</v>
      </c>
      <c r="BR26" s="4" t="s">
        <v>17</v>
      </c>
      <c r="BS26" s="4" t="str">
        <f t="shared" si="12"/>
        <v>N</v>
      </c>
      <c r="BT26" s="4" t="s">
        <v>17</v>
      </c>
      <c r="BU26" s="4" t="str">
        <f t="shared" si="13"/>
        <v>N</v>
      </c>
      <c r="BV26" s="4" t="s">
        <v>17</v>
      </c>
      <c r="BW26" s="4" t="str">
        <f t="shared" si="14"/>
        <v>N</v>
      </c>
      <c r="BX26" s="4" t="s">
        <v>5</v>
      </c>
      <c r="BY26" s="4" t="str">
        <f t="shared" si="15"/>
        <v>Sim</v>
      </c>
      <c r="BZ26" s="4" t="s">
        <v>17</v>
      </c>
      <c r="CA26" s="4" t="str">
        <f t="shared" si="16"/>
        <v>N</v>
      </c>
    </row>
    <row r="27" spans="2:79">
      <c r="B27" s="45" t="s">
        <v>77</v>
      </c>
      <c r="C27" s="44" t="s">
        <v>78</v>
      </c>
      <c r="D27" s="53" t="s">
        <v>103</v>
      </c>
      <c r="E27" s="6" t="s">
        <v>17</v>
      </c>
      <c r="F27" s="4" t="s">
        <v>17</v>
      </c>
      <c r="G27" s="4" t="s">
        <v>17</v>
      </c>
      <c r="H27" s="4" t="s">
        <v>17</v>
      </c>
      <c r="I27" s="4" t="s">
        <v>17</v>
      </c>
      <c r="J27" s="4" t="s">
        <v>17</v>
      </c>
      <c r="K27" s="4" t="s">
        <v>17</v>
      </c>
      <c r="L27" s="5" t="s">
        <v>17</v>
      </c>
      <c r="M27" s="7"/>
      <c r="N27" s="6" t="s">
        <v>3</v>
      </c>
      <c r="O27" s="4">
        <v>0</v>
      </c>
      <c r="P27" s="4" t="s">
        <v>3</v>
      </c>
      <c r="Q27" s="4">
        <v>0</v>
      </c>
      <c r="R27" s="4" t="s">
        <v>3</v>
      </c>
      <c r="S27" s="4">
        <v>0</v>
      </c>
      <c r="T27" s="4" t="s">
        <v>5</v>
      </c>
      <c r="U27" s="5">
        <v>1</v>
      </c>
      <c r="V27" s="7"/>
      <c r="W27" s="6" t="s">
        <v>17</v>
      </c>
      <c r="X27" s="4" t="s">
        <v>17</v>
      </c>
      <c r="Y27" s="4" t="s">
        <v>17</v>
      </c>
      <c r="Z27" s="4" t="s">
        <v>17</v>
      </c>
      <c r="AA27" s="4" t="s">
        <v>17</v>
      </c>
      <c r="AB27" s="4" t="s">
        <v>17</v>
      </c>
      <c r="AC27" s="4" t="s">
        <v>17</v>
      </c>
      <c r="AD27" s="5" t="s">
        <v>17</v>
      </c>
      <c r="AE27" s="7"/>
      <c r="AF27" s="6" t="s">
        <v>17</v>
      </c>
      <c r="AG27" s="4" t="s">
        <v>17</v>
      </c>
      <c r="AH27" s="4" t="s">
        <v>17</v>
      </c>
      <c r="AI27" s="4" t="s">
        <v>17</v>
      </c>
      <c r="AJ27" s="4" t="s">
        <v>17</v>
      </c>
      <c r="AK27" s="4" t="s">
        <v>17</v>
      </c>
      <c r="AL27" s="4" t="s">
        <v>17</v>
      </c>
      <c r="AM27" s="5" t="s">
        <v>17</v>
      </c>
      <c r="AN27" s="7"/>
      <c r="AO27" s="6" t="s">
        <v>15</v>
      </c>
      <c r="AP27" s="4" t="s">
        <v>13</v>
      </c>
      <c r="AQ27" s="4" t="s">
        <v>15</v>
      </c>
      <c r="AR27" s="5" t="s">
        <v>15</v>
      </c>
      <c r="AT27" s="4" t="s">
        <v>5</v>
      </c>
      <c r="AU27" s="4" t="str">
        <f t="shared" si="0"/>
        <v>Sim</v>
      </c>
      <c r="AV27" s="4" t="s">
        <v>17</v>
      </c>
      <c r="AW27" s="4" t="str">
        <f t="shared" si="1"/>
        <v>N</v>
      </c>
      <c r="AX27" s="4" t="s">
        <v>5</v>
      </c>
      <c r="AY27" s="4" t="str">
        <f t="shared" si="2"/>
        <v>Sim</v>
      </c>
      <c r="AZ27" s="4" t="s">
        <v>17</v>
      </c>
      <c r="BA27" s="4" t="str">
        <f t="shared" si="3"/>
        <v>N</v>
      </c>
      <c r="BB27" s="4" t="s">
        <v>17</v>
      </c>
      <c r="BC27" s="4" t="str">
        <f t="shared" si="4"/>
        <v>N</v>
      </c>
      <c r="BD27" s="4" t="s">
        <v>17</v>
      </c>
      <c r="BE27" s="4" t="str">
        <f t="shared" si="5"/>
        <v>N</v>
      </c>
      <c r="BF27" s="4" t="s">
        <v>17</v>
      </c>
      <c r="BG27" s="4" t="str">
        <f t="shared" si="6"/>
        <v>N</v>
      </c>
      <c r="BH27" s="4" t="s">
        <v>17</v>
      </c>
      <c r="BI27" s="4" t="str">
        <f t="shared" si="7"/>
        <v>N</v>
      </c>
      <c r="BJ27" s="4" t="s">
        <v>17</v>
      </c>
      <c r="BK27" s="4" t="str">
        <f t="shared" si="8"/>
        <v>N</v>
      </c>
      <c r="BL27" s="4" t="s">
        <v>17</v>
      </c>
      <c r="BM27" s="4" t="str">
        <f t="shared" si="9"/>
        <v>N</v>
      </c>
      <c r="BN27" s="4" t="s">
        <v>17</v>
      </c>
      <c r="BO27" s="4" t="str">
        <f t="shared" si="10"/>
        <v>N</v>
      </c>
      <c r="BP27" s="4" t="s">
        <v>5</v>
      </c>
      <c r="BQ27" s="4" t="str">
        <f t="shared" si="11"/>
        <v>Sim</v>
      </c>
      <c r="BR27" s="4" t="s">
        <v>17</v>
      </c>
      <c r="BS27" s="4" t="str">
        <f t="shared" si="12"/>
        <v>N</v>
      </c>
      <c r="BT27" s="4" t="s">
        <v>17</v>
      </c>
      <c r="BU27" s="4" t="str">
        <f t="shared" si="13"/>
        <v>N</v>
      </c>
      <c r="BV27" s="4" t="s">
        <v>17</v>
      </c>
      <c r="BW27" s="4" t="str">
        <f t="shared" si="14"/>
        <v>N</v>
      </c>
      <c r="BX27" s="4" t="s">
        <v>5</v>
      </c>
      <c r="BY27" s="4" t="str">
        <f t="shared" si="15"/>
        <v>Sim</v>
      </c>
      <c r="BZ27" s="4" t="s">
        <v>17</v>
      </c>
      <c r="CA27" s="4" t="str">
        <f t="shared" si="16"/>
        <v>N</v>
      </c>
    </row>
    <row r="28" spans="2:79">
      <c r="B28" s="46" t="s">
        <v>77</v>
      </c>
      <c r="C28" s="13" t="s">
        <v>87</v>
      </c>
      <c r="D28" s="54" t="s">
        <v>104</v>
      </c>
      <c r="E28" s="6" t="s">
        <v>17</v>
      </c>
      <c r="F28" s="4" t="s">
        <v>17</v>
      </c>
      <c r="G28" s="4" t="s">
        <v>17</v>
      </c>
      <c r="H28" s="4" t="s">
        <v>17</v>
      </c>
      <c r="I28" s="4" t="s">
        <v>17</v>
      </c>
      <c r="J28" s="4" t="s">
        <v>17</v>
      </c>
      <c r="K28" s="4" t="s">
        <v>17</v>
      </c>
      <c r="L28" s="5" t="s">
        <v>17</v>
      </c>
      <c r="M28" s="7"/>
      <c r="N28" s="6" t="s">
        <v>3</v>
      </c>
      <c r="O28" s="4">
        <v>0</v>
      </c>
      <c r="P28" s="4" t="s">
        <v>3</v>
      </c>
      <c r="Q28" s="4">
        <v>0</v>
      </c>
      <c r="R28" s="4" t="s">
        <v>3</v>
      </c>
      <c r="S28" s="4">
        <v>0</v>
      </c>
      <c r="T28" s="4" t="s">
        <v>5</v>
      </c>
      <c r="U28" s="5">
        <v>1</v>
      </c>
      <c r="V28" s="7"/>
      <c r="W28" s="6" t="s">
        <v>17</v>
      </c>
      <c r="X28" s="4" t="s">
        <v>17</v>
      </c>
      <c r="Y28" s="4" t="s">
        <v>17</v>
      </c>
      <c r="Z28" s="4" t="s">
        <v>17</v>
      </c>
      <c r="AA28" s="4" t="s">
        <v>17</v>
      </c>
      <c r="AB28" s="4" t="s">
        <v>17</v>
      </c>
      <c r="AC28" s="4" t="s">
        <v>17</v>
      </c>
      <c r="AD28" s="5" t="s">
        <v>17</v>
      </c>
      <c r="AE28" s="7"/>
      <c r="AF28" s="6" t="s">
        <v>17</v>
      </c>
      <c r="AG28" s="4" t="s">
        <v>17</v>
      </c>
      <c r="AH28" s="4" t="s">
        <v>17</v>
      </c>
      <c r="AI28" s="4" t="s">
        <v>17</v>
      </c>
      <c r="AJ28" s="4" t="s">
        <v>17</v>
      </c>
      <c r="AK28" s="4" t="s">
        <v>17</v>
      </c>
      <c r="AL28" s="4" t="s">
        <v>17</v>
      </c>
      <c r="AM28" s="5" t="s">
        <v>17</v>
      </c>
      <c r="AN28" s="7"/>
      <c r="AO28" s="6" t="s">
        <v>15</v>
      </c>
      <c r="AP28" s="4" t="s">
        <v>13</v>
      </c>
      <c r="AQ28" s="4" t="s">
        <v>15</v>
      </c>
      <c r="AR28" s="5" t="s">
        <v>15</v>
      </c>
      <c r="AT28" s="4" t="s">
        <v>5</v>
      </c>
      <c r="AU28" s="4" t="str">
        <f t="shared" si="0"/>
        <v>Sim</v>
      </c>
      <c r="AV28" s="4" t="s">
        <v>17</v>
      </c>
      <c r="AW28" s="4" t="str">
        <f t="shared" si="1"/>
        <v>N</v>
      </c>
      <c r="AX28" s="4" t="s">
        <v>5</v>
      </c>
      <c r="AY28" s="4" t="str">
        <f t="shared" si="2"/>
        <v>Sim</v>
      </c>
      <c r="AZ28" s="4" t="s">
        <v>17</v>
      </c>
      <c r="BA28" s="4" t="str">
        <f t="shared" si="3"/>
        <v>N</v>
      </c>
      <c r="BB28" s="4" t="s">
        <v>17</v>
      </c>
      <c r="BC28" s="4" t="str">
        <f t="shared" si="4"/>
        <v>N</v>
      </c>
      <c r="BD28" s="4" t="s">
        <v>17</v>
      </c>
      <c r="BE28" s="4" t="str">
        <f t="shared" si="5"/>
        <v>N</v>
      </c>
      <c r="BF28" s="4" t="s">
        <v>17</v>
      </c>
      <c r="BG28" s="4" t="str">
        <f t="shared" si="6"/>
        <v>N</v>
      </c>
      <c r="BH28" s="4" t="s">
        <v>17</v>
      </c>
      <c r="BI28" s="4" t="str">
        <f t="shared" si="7"/>
        <v>N</v>
      </c>
      <c r="BJ28" s="4" t="s">
        <v>17</v>
      </c>
      <c r="BK28" s="4" t="str">
        <f t="shared" si="8"/>
        <v>N</v>
      </c>
      <c r="BL28" s="4" t="s">
        <v>17</v>
      </c>
      <c r="BM28" s="4" t="str">
        <f t="shared" si="9"/>
        <v>N</v>
      </c>
      <c r="BN28" s="4" t="s">
        <v>17</v>
      </c>
      <c r="BO28" s="4" t="str">
        <f t="shared" si="10"/>
        <v>N</v>
      </c>
      <c r="BP28" s="4" t="s">
        <v>5</v>
      </c>
      <c r="BQ28" s="4" t="str">
        <f t="shared" si="11"/>
        <v>Sim</v>
      </c>
      <c r="BR28" s="4" t="s">
        <v>17</v>
      </c>
      <c r="BS28" s="4" t="str">
        <f t="shared" si="12"/>
        <v>N</v>
      </c>
      <c r="BT28" s="4" t="s">
        <v>17</v>
      </c>
      <c r="BU28" s="4" t="str">
        <f t="shared" si="13"/>
        <v>N</v>
      </c>
      <c r="BV28" s="4" t="s">
        <v>17</v>
      </c>
      <c r="BW28" s="4" t="str">
        <f t="shared" si="14"/>
        <v>N</v>
      </c>
      <c r="BX28" s="4" t="s">
        <v>5</v>
      </c>
      <c r="BY28" s="4" t="str">
        <f t="shared" si="15"/>
        <v>Sim</v>
      </c>
      <c r="BZ28" s="4" t="s">
        <v>17</v>
      </c>
      <c r="CA28" s="4" t="str">
        <f t="shared" si="16"/>
        <v>N</v>
      </c>
    </row>
    <row r="29" spans="2:79">
      <c r="B29" s="45" t="s">
        <v>77</v>
      </c>
      <c r="C29" s="44" t="s">
        <v>78</v>
      </c>
      <c r="D29" s="53" t="s">
        <v>105</v>
      </c>
      <c r="E29" s="6" t="s">
        <v>17</v>
      </c>
      <c r="F29" s="4" t="s">
        <v>17</v>
      </c>
      <c r="G29" s="4" t="s">
        <v>17</v>
      </c>
      <c r="H29" s="4" t="s">
        <v>17</v>
      </c>
      <c r="I29" s="4" t="s">
        <v>17</v>
      </c>
      <c r="J29" s="4" t="s">
        <v>17</v>
      </c>
      <c r="K29" s="4" t="s">
        <v>17</v>
      </c>
      <c r="L29" s="5" t="s">
        <v>17</v>
      </c>
      <c r="M29" s="7"/>
      <c r="N29" s="6" t="s">
        <v>3</v>
      </c>
      <c r="O29" s="4">
        <v>0</v>
      </c>
      <c r="P29" s="4" t="s">
        <v>3</v>
      </c>
      <c r="Q29" s="4">
        <v>1</v>
      </c>
      <c r="R29" s="4" t="s">
        <v>5</v>
      </c>
      <c r="S29" s="4">
        <v>1</v>
      </c>
      <c r="T29" s="4" t="s">
        <v>7</v>
      </c>
      <c r="U29" s="5">
        <v>1</v>
      </c>
      <c r="V29" s="7"/>
      <c r="W29" s="6" t="s">
        <v>17</v>
      </c>
      <c r="X29" s="4" t="s">
        <v>17</v>
      </c>
      <c r="Y29" s="4" t="s">
        <v>17</v>
      </c>
      <c r="Z29" s="4" t="s">
        <v>17</v>
      </c>
      <c r="AA29" s="4" t="s">
        <v>17</v>
      </c>
      <c r="AB29" s="4" t="s">
        <v>17</v>
      </c>
      <c r="AC29" s="4" t="s">
        <v>17</v>
      </c>
      <c r="AD29" s="5" t="s">
        <v>17</v>
      </c>
      <c r="AE29" s="7"/>
      <c r="AF29" s="6" t="s">
        <v>17</v>
      </c>
      <c r="AG29" s="4" t="s">
        <v>17</v>
      </c>
      <c r="AH29" s="4" t="s">
        <v>17</v>
      </c>
      <c r="AI29" s="4" t="s">
        <v>17</v>
      </c>
      <c r="AJ29" s="4" t="s">
        <v>17</v>
      </c>
      <c r="AK29" s="4" t="s">
        <v>17</v>
      </c>
      <c r="AL29" s="4" t="s">
        <v>17</v>
      </c>
      <c r="AM29" s="5" t="s">
        <v>17</v>
      </c>
      <c r="AN29" s="7"/>
      <c r="AO29" s="6" t="s">
        <v>15</v>
      </c>
      <c r="AP29" s="4" t="s">
        <v>13</v>
      </c>
      <c r="AQ29" s="4" t="s">
        <v>15</v>
      </c>
      <c r="AR29" s="5" t="s">
        <v>15</v>
      </c>
      <c r="AT29" s="4" t="s">
        <v>5</v>
      </c>
      <c r="AU29" s="4" t="str">
        <f t="shared" si="0"/>
        <v>Sim</v>
      </c>
      <c r="AV29" s="4" t="s">
        <v>17</v>
      </c>
      <c r="AW29" s="4" t="str">
        <f t="shared" si="1"/>
        <v>N</v>
      </c>
      <c r="AX29" s="4" t="s">
        <v>5</v>
      </c>
      <c r="AY29" s="4" t="str">
        <f t="shared" si="2"/>
        <v>Sim</v>
      </c>
      <c r="AZ29" s="4" t="s">
        <v>17</v>
      </c>
      <c r="BA29" s="4" t="str">
        <f t="shared" si="3"/>
        <v>N</v>
      </c>
      <c r="BB29" s="4" t="s">
        <v>17</v>
      </c>
      <c r="BC29" s="4" t="str">
        <f t="shared" si="4"/>
        <v>N</v>
      </c>
      <c r="BD29" s="4" t="s">
        <v>17</v>
      </c>
      <c r="BE29" s="4" t="str">
        <f t="shared" si="5"/>
        <v>N</v>
      </c>
      <c r="BF29" s="4" t="s">
        <v>17</v>
      </c>
      <c r="BG29" s="4" t="str">
        <f t="shared" si="6"/>
        <v>N</v>
      </c>
      <c r="BH29" s="4" t="s">
        <v>17</v>
      </c>
      <c r="BI29" s="4" t="str">
        <f t="shared" si="7"/>
        <v>N</v>
      </c>
      <c r="BJ29" s="4" t="s">
        <v>17</v>
      </c>
      <c r="BK29" s="4" t="str">
        <f t="shared" si="8"/>
        <v>N</v>
      </c>
      <c r="BL29" s="4" t="s">
        <v>17</v>
      </c>
      <c r="BM29" s="4" t="str">
        <f t="shared" si="9"/>
        <v>N</v>
      </c>
      <c r="BN29" s="4" t="s">
        <v>17</v>
      </c>
      <c r="BO29" s="4" t="str">
        <f t="shared" si="10"/>
        <v>N</v>
      </c>
      <c r="BP29" s="4" t="s">
        <v>5</v>
      </c>
      <c r="BQ29" s="4" t="str">
        <f t="shared" si="11"/>
        <v>Sim</v>
      </c>
      <c r="BR29" s="4" t="s">
        <v>17</v>
      </c>
      <c r="BS29" s="4" t="str">
        <f t="shared" si="12"/>
        <v>N</v>
      </c>
      <c r="BT29" s="4" t="s">
        <v>17</v>
      </c>
      <c r="BU29" s="4" t="str">
        <f t="shared" si="13"/>
        <v>N</v>
      </c>
      <c r="BV29" s="4" t="s">
        <v>17</v>
      </c>
      <c r="BW29" s="4" t="str">
        <f t="shared" si="14"/>
        <v>N</v>
      </c>
      <c r="BX29" s="4" t="s">
        <v>5</v>
      </c>
      <c r="BY29" s="4" t="str">
        <f t="shared" si="15"/>
        <v>Sim</v>
      </c>
      <c r="BZ29" s="4" t="s">
        <v>17</v>
      </c>
      <c r="CA29" s="4" t="str">
        <f t="shared" si="16"/>
        <v>N</v>
      </c>
    </row>
    <row r="30" spans="2:79">
      <c r="B30" s="46" t="s">
        <v>77</v>
      </c>
      <c r="C30" s="13" t="s">
        <v>87</v>
      </c>
      <c r="D30" s="54" t="s">
        <v>106</v>
      </c>
      <c r="E30" s="6" t="s">
        <v>3</v>
      </c>
      <c r="F30" s="4">
        <v>0</v>
      </c>
      <c r="G30" s="4" t="s">
        <v>3</v>
      </c>
      <c r="H30" s="4">
        <v>1</v>
      </c>
      <c r="I30" s="4" t="s">
        <v>3</v>
      </c>
      <c r="J30" s="4">
        <v>1</v>
      </c>
      <c r="K30" s="4" t="s">
        <v>3</v>
      </c>
      <c r="L30" s="5">
        <v>1</v>
      </c>
      <c r="M30" s="7"/>
      <c r="N30" s="6" t="s">
        <v>3</v>
      </c>
      <c r="O30" s="4">
        <v>0</v>
      </c>
      <c r="P30" s="4" t="s">
        <v>3</v>
      </c>
      <c r="Q30" s="4">
        <v>1</v>
      </c>
      <c r="R30" s="4" t="s">
        <v>5</v>
      </c>
      <c r="S30" s="4">
        <v>1</v>
      </c>
      <c r="T30" s="4" t="s">
        <v>5</v>
      </c>
      <c r="U30" s="5">
        <v>1</v>
      </c>
      <c r="V30" s="7"/>
      <c r="W30" s="6" t="s">
        <v>3</v>
      </c>
      <c r="X30" s="4">
        <v>0</v>
      </c>
      <c r="Y30" s="4" t="s">
        <v>3</v>
      </c>
      <c r="Z30" s="4">
        <v>1</v>
      </c>
      <c r="AA30" s="4" t="s">
        <v>5</v>
      </c>
      <c r="AB30" s="4">
        <v>1</v>
      </c>
      <c r="AC30" s="4" t="s">
        <v>5</v>
      </c>
      <c r="AD30" s="5">
        <v>1</v>
      </c>
      <c r="AE30" s="7"/>
      <c r="AF30" s="6" t="s">
        <v>17</v>
      </c>
      <c r="AG30" s="4" t="s">
        <v>17</v>
      </c>
      <c r="AH30" s="4" t="s">
        <v>17</v>
      </c>
      <c r="AI30" s="4" t="s">
        <v>17</v>
      </c>
      <c r="AJ30" s="4" t="s">
        <v>17</v>
      </c>
      <c r="AK30" s="4" t="s">
        <v>17</v>
      </c>
      <c r="AL30" s="4" t="s">
        <v>17</v>
      </c>
      <c r="AM30" s="5" t="s">
        <v>17</v>
      </c>
      <c r="AN30" s="7"/>
      <c r="AO30" s="6" t="s">
        <v>13</v>
      </c>
      <c r="AP30" s="4" t="s">
        <v>13</v>
      </c>
      <c r="AQ30" s="4" t="s">
        <v>13</v>
      </c>
      <c r="AR30" s="5" t="s">
        <v>15</v>
      </c>
      <c r="AT30" s="4" t="s">
        <v>3</v>
      </c>
      <c r="AU30" s="4" t="str">
        <f t="shared" si="0"/>
        <v>Sim</v>
      </c>
      <c r="AV30" s="4" t="s">
        <v>3</v>
      </c>
      <c r="AW30" s="4" t="str">
        <f t="shared" si="1"/>
        <v>Sim</v>
      </c>
      <c r="AX30" s="4" t="s">
        <v>5</v>
      </c>
      <c r="AY30" s="4" t="str">
        <f t="shared" si="2"/>
        <v>Sim</v>
      </c>
      <c r="AZ30" s="4" t="s">
        <v>3</v>
      </c>
      <c r="BA30" s="4" t="str">
        <f t="shared" si="3"/>
        <v>Sim</v>
      </c>
      <c r="BB30" s="4" t="s">
        <v>17</v>
      </c>
      <c r="BC30" s="4" t="str">
        <f t="shared" si="4"/>
        <v>N</v>
      </c>
      <c r="BD30" s="4" t="s">
        <v>5</v>
      </c>
      <c r="BE30" s="4" t="str">
        <f t="shared" si="5"/>
        <v>Sim</v>
      </c>
      <c r="BF30" s="4" t="s">
        <v>3</v>
      </c>
      <c r="BG30" s="4" t="str">
        <f t="shared" si="6"/>
        <v>Sim</v>
      </c>
      <c r="BH30" s="4" t="s">
        <v>3</v>
      </c>
      <c r="BI30" s="4" t="str">
        <f t="shared" si="7"/>
        <v>Sim</v>
      </c>
      <c r="BJ30" s="4" t="s">
        <v>3</v>
      </c>
      <c r="BK30" s="4" t="str">
        <f t="shared" si="8"/>
        <v>Sim</v>
      </c>
      <c r="BL30" s="4" t="s">
        <v>3</v>
      </c>
      <c r="BM30" s="4" t="str">
        <f t="shared" si="9"/>
        <v>Sim</v>
      </c>
      <c r="BN30" s="4" t="s">
        <v>17</v>
      </c>
      <c r="BO30" s="4" t="str">
        <f t="shared" si="10"/>
        <v>N</v>
      </c>
      <c r="BP30" s="4" t="s">
        <v>3</v>
      </c>
      <c r="BQ30" s="4" t="str">
        <f t="shared" si="11"/>
        <v>Sim</v>
      </c>
      <c r="BR30" s="4" t="s">
        <v>3</v>
      </c>
      <c r="BS30" s="4" t="str">
        <f t="shared" si="12"/>
        <v>Sim</v>
      </c>
      <c r="BT30" s="4" t="s">
        <v>3</v>
      </c>
      <c r="BU30" s="4" t="str">
        <f t="shared" si="13"/>
        <v>Sim</v>
      </c>
      <c r="BV30" s="4" t="s">
        <v>3</v>
      </c>
      <c r="BW30" s="4" t="str">
        <f t="shared" si="14"/>
        <v>Sim</v>
      </c>
      <c r="BX30" s="4" t="s">
        <v>5</v>
      </c>
      <c r="BY30" s="4" t="str">
        <f t="shared" si="15"/>
        <v>Sim</v>
      </c>
      <c r="BZ30" s="4" t="s">
        <v>3</v>
      </c>
      <c r="CA30" s="4" t="str">
        <f t="shared" si="16"/>
        <v>Sim</v>
      </c>
    </row>
    <row r="31" spans="2:79">
      <c r="B31" s="45" t="s">
        <v>77</v>
      </c>
      <c r="C31" s="44" t="s">
        <v>87</v>
      </c>
      <c r="D31" s="53" t="s">
        <v>107</v>
      </c>
      <c r="E31" s="6" t="s">
        <v>3</v>
      </c>
      <c r="F31" s="4">
        <v>0</v>
      </c>
      <c r="G31" s="4" t="s">
        <v>3</v>
      </c>
      <c r="H31" s="4">
        <v>1</v>
      </c>
      <c r="I31" s="4" t="s">
        <v>5</v>
      </c>
      <c r="J31" s="4">
        <v>1</v>
      </c>
      <c r="K31" s="4" t="s">
        <v>5</v>
      </c>
      <c r="L31" s="5">
        <v>1</v>
      </c>
      <c r="M31" s="7"/>
      <c r="N31" s="6" t="s">
        <v>3</v>
      </c>
      <c r="O31" s="4">
        <v>0</v>
      </c>
      <c r="P31" s="4" t="s">
        <v>3</v>
      </c>
      <c r="Q31" s="4">
        <v>1</v>
      </c>
      <c r="R31" s="4" t="s">
        <v>5</v>
      </c>
      <c r="S31" s="4">
        <v>1</v>
      </c>
      <c r="T31" s="4" t="s">
        <v>5</v>
      </c>
      <c r="U31" s="5">
        <v>1</v>
      </c>
      <c r="V31" s="7"/>
      <c r="W31" s="6" t="s">
        <v>3</v>
      </c>
      <c r="X31" s="4">
        <v>0</v>
      </c>
      <c r="Y31" s="4" t="s">
        <v>3</v>
      </c>
      <c r="Z31" s="4">
        <v>1</v>
      </c>
      <c r="AA31" s="4" t="s">
        <v>5</v>
      </c>
      <c r="AB31" s="4">
        <v>1</v>
      </c>
      <c r="AC31" s="4" t="s">
        <v>5</v>
      </c>
      <c r="AD31" s="5">
        <v>1</v>
      </c>
      <c r="AE31" s="7"/>
      <c r="AF31" s="6" t="s">
        <v>3</v>
      </c>
      <c r="AG31" s="4">
        <v>0</v>
      </c>
      <c r="AH31" s="4" t="s">
        <v>3</v>
      </c>
      <c r="AI31" s="4">
        <v>1</v>
      </c>
      <c r="AJ31" s="4" t="s">
        <v>5</v>
      </c>
      <c r="AK31" s="4">
        <v>1</v>
      </c>
      <c r="AL31" s="4" t="s">
        <v>5</v>
      </c>
      <c r="AM31" s="5">
        <v>1</v>
      </c>
      <c r="AN31" s="7"/>
      <c r="AO31" s="6" t="s">
        <v>13</v>
      </c>
      <c r="AP31" s="4" t="s">
        <v>13</v>
      </c>
      <c r="AQ31" s="4" t="s">
        <v>13</v>
      </c>
      <c r="AR31" s="5" t="s">
        <v>13</v>
      </c>
      <c r="AT31" s="4" t="s">
        <v>3</v>
      </c>
      <c r="AU31" s="4" t="str">
        <f t="shared" si="0"/>
        <v>Sim</v>
      </c>
      <c r="AV31" s="4" t="s">
        <v>5</v>
      </c>
      <c r="AW31" s="4" t="str">
        <f t="shared" si="1"/>
        <v>Sim</v>
      </c>
      <c r="AX31" s="4" t="s">
        <v>7</v>
      </c>
      <c r="AY31" s="4" t="str">
        <f t="shared" si="2"/>
        <v>Sim</v>
      </c>
      <c r="AZ31" s="4" t="s">
        <v>3</v>
      </c>
      <c r="BA31" s="4" t="str">
        <f t="shared" si="3"/>
        <v>Sim</v>
      </c>
      <c r="BB31" s="4" t="s">
        <v>7</v>
      </c>
      <c r="BC31" s="4" t="str">
        <f t="shared" si="4"/>
        <v>Sim</v>
      </c>
      <c r="BD31" s="4" t="s">
        <v>7</v>
      </c>
      <c r="BE31" s="4" t="str">
        <f t="shared" si="5"/>
        <v>Sim</v>
      </c>
      <c r="BF31" s="4" t="s">
        <v>3</v>
      </c>
      <c r="BG31" s="4" t="str">
        <f t="shared" si="6"/>
        <v>Sim</v>
      </c>
      <c r="BH31" s="4" t="s">
        <v>5</v>
      </c>
      <c r="BI31" s="4" t="str">
        <f t="shared" si="7"/>
        <v>Sim</v>
      </c>
      <c r="BJ31" s="4" t="s">
        <v>3</v>
      </c>
      <c r="BK31" s="4" t="str">
        <f t="shared" si="8"/>
        <v>Sim</v>
      </c>
      <c r="BL31" s="4" t="s">
        <v>3</v>
      </c>
      <c r="BM31" s="4" t="str">
        <f t="shared" si="9"/>
        <v>Sim</v>
      </c>
      <c r="BN31" s="4" t="s">
        <v>7</v>
      </c>
      <c r="BO31" s="4" t="str">
        <f t="shared" si="10"/>
        <v>Sim</v>
      </c>
      <c r="BP31" s="4" t="s">
        <v>3</v>
      </c>
      <c r="BQ31" s="4" t="str">
        <f t="shared" si="11"/>
        <v>Sim</v>
      </c>
      <c r="BR31" s="4" t="s">
        <v>5</v>
      </c>
      <c r="BS31" s="4" t="str">
        <f t="shared" si="12"/>
        <v>Sim</v>
      </c>
      <c r="BT31" s="4" t="s">
        <v>3</v>
      </c>
      <c r="BU31" s="4" t="str">
        <f t="shared" si="13"/>
        <v>Sim</v>
      </c>
      <c r="BV31" s="4" t="s">
        <v>3</v>
      </c>
      <c r="BW31" s="4" t="str">
        <f t="shared" si="14"/>
        <v>Sim</v>
      </c>
      <c r="BX31" s="4" t="s">
        <v>3</v>
      </c>
      <c r="BY31" s="4" t="str">
        <f t="shared" si="15"/>
        <v>Sim</v>
      </c>
      <c r="BZ31" s="4" t="s">
        <v>5</v>
      </c>
      <c r="CA31" s="4" t="str">
        <f t="shared" si="16"/>
        <v>Sim</v>
      </c>
    </row>
    <row r="32" spans="2:79">
      <c r="B32" s="46" t="s">
        <v>77</v>
      </c>
      <c r="C32" s="13" t="s">
        <v>87</v>
      </c>
      <c r="D32" s="54" t="s">
        <v>108</v>
      </c>
      <c r="E32" s="6" t="s">
        <v>3</v>
      </c>
      <c r="F32" s="4">
        <v>0</v>
      </c>
      <c r="G32" s="4" t="s">
        <v>3</v>
      </c>
      <c r="H32" s="4">
        <v>1</v>
      </c>
      <c r="I32" s="4" t="s">
        <v>5</v>
      </c>
      <c r="J32" s="4">
        <v>1</v>
      </c>
      <c r="K32" s="4" t="s">
        <v>7</v>
      </c>
      <c r="L32" s="5">
        <v>1</v>
      </c>
      <c r="M32" s="7"/>
      <c r="N32" s="6" t="s">
        <v>3</v>
      </c>
      <c r="O32" s="4">
        <v>0</v>
      </c>
      <c r="P32" s="4" t="s">
        <v>3</v>
      </c>
      <c r="Q32" s="4">
        <v>1</v>
      </c>
      <c r="R32" s="4" t="s">
        <v>5</v>
      </c>
      <c r="S32" s="4">
        <v>1</v>
      </c>
      <c r="T32" s="4" t="s">
        <v>7</v>
      </c>
      <c r="U32" s="5">
        <v>1</v>
      </c>
      <c r="V32" s="7"/>
      <c r="W32" s="6" t="s">
        <v>3</v>
      </c>
      <c r="X32" s="4">
        <v>0</v>
      </c>
      <c r="Y32" s="4" t="s">
        <v>3</v>
      </c>
      <c r="Z32" s="4">
        <v>1</v>
      </c>
      <c r="AA32" s="4" t="s">
        <v>5</v>
      </c>
      <c r="AB32" s="4">
        <v>1</v>
      </c>
      <c r="AC32" s="4" t="s">
        <v>7</v>
      </c>
      <c r="AD32" s="5">
        <v>1</v>
      </c>
      <c r="AE32" s="7"/>
      <c r="AF32" s="6" t="s">
        <v>17</v>
      </c>
      <c r="AG32" s="4" t="s">
        <v>17</v>
      </c>
      <c r="AH32" s="4" t="s">
        <v>17</v>
      </c>
      <c r="AI32" s="4" t="s">
        <v>17</v>
      </c>
      <c r="AJ32" s="4" t="s">
        <v>17</v>
      </c>
      <c r="AK32" s="4" t="s">
        <v>17</v>
      </c>
      <c r="AL32" s="4" t="s">
        <v>17</v>
      </c>
      <c r="AM32" s="5" t="s">
        <v>17</v>
      </c>
      <c r="AN32" s="7"/>
      <c r="AO32" s="6" t="s">
        <v>13</v>
      </c>
      <c r="AP32" s="4" t="s">
        <v>13</v>
      </c>
      <c r="AQ32" s="4" t="s">
        <v>13</v>
      </c>
      <c r="AR32" s="5" t="s">
        <v>15</v>
      </c>
      <c r="AT32" s="4" t="s">
        <v>5</v>
      </c>
      <c r="AU32" s="4" t="str">
        <f t="shared" si="0"/>
        <v>Sim</v>
      </c>
      <c r="AV32" s="4" t="s">
        <v>5</v>
      </c>
      <c r="AW32" s="4" t="str">
        <f t="shared" si="1"/>
        <v>Sim</v>
      </c>
      <c r="AX32" s="4" t="s">
        <v>5</v>
      </c>
      <c r="AY32" s="4" t="str">
        <f t="shared" si="2"/>
        <v>Sim</v>
      </c>
      <c r="AZ32" s="4" t="s">
        <v>3</v>
      </c>
      <c r="BA32" s="4" t="str">
        <f t="shared" si="3"/>
        <v>Sim</v>
      </c>
      <c r="BB32" s="4" t="s">
        <v>17</v>
      </c>
      <c r="BC32" s="4" t="str">
        <f t="shared" si="4"/>
        <v>N</v>
      </c>
      <c r="BD32" s="4" t="s">
        <v>7</v>
      </c>
      <c r="BE32" s="4" t="str">
        <f t="shared" si="5"/>
        <v>Sim</v>
      </c>
      <c r="BF32" s="4" t="s">
        <v>3</v>
      </c>
      <c r="BG32" s="4" t="str">
        <f t="shared" si="6"/>
        <v>Sim</v>
      </c>
      <c r="BH32" s="4" t="s">
        <v>7</v>
      </c>
      <c r="BI32" s="4" t="str">
        <f t="shared" si="7"/>
        <v>Sim</v>
      </c>
      <c r="BJ32" s="4" t="s">
        <v>3</v>
      </c>
      <c r="BK32" s="4" t="str">
        <f t="shared" si="8"/>
        <v>Sim</v>
      </c>
      <c r="BL32" s="4" t="s">
        <v>3</v>
      </c>
      <c r="BM32" s="4" t="str">
        <f t="shared" si="9"/>
        <v>Sim</v>
      </c>
      <c r="BN32" s="4" t="s">
        <v>17</v>
      </c>
      <c r="BO32" s="4" t="str">
        <f t="shared" si="10"/>
        <v>N</v>
      </c>
      <c r="BP32" s="4" t="s">
        <v>5</v>
      </c>
      <c r="BQ32" s="4" t="str">
        <f t="shared" si="11"/>
        <v>Sim</v>
      </c>
      <c r="BR32" s="4" t="s">
        <v>5</v>
      </c>
      <c r="BS32" s="4" t="str">
        <f t="shared" si="12"/>
        <v>Sim</v>
      </c>
      <c r="BT32" s="4" t="s">
        <v>3</v>
      </c>
      <c r="BU32" s="4" t="str">
        <f t="shared" si="13"/>
        <v>Sim</v>
      </c>
      <c r="BV32" s="4" t="s">
        <v>3</v>
      </c>
      <c r="BW32" s="4" t="str">
        <f t="shared" si="14"/>
        <v>Sim</v>
      </c>
      <c r="BX32" s="4" t="s">
        <v>5</v>
      </c>
      <c r="BY32" s="4" t="str">
        <f t="shared" si="15"/>
        <v>Sim</v>
      </c>
      <c r="BZ32" s="4" t="s">
        <v>3</v>
      </c>
      <c r="CA32" s="4" t="str">
        <f t="shared" si="16"/>
        <v>Sim</v>
      </c>
    </row>
    <row r="33" spans="2:79">
      <c r="B33" s="45" t="s">
        <v>77</v>
      </c>
      <c r="C33" s="44" t="s">
        <v>87</v>
      </c>
      <c r="D33" s="53" t="s">
        <v>109</v>
      </c>
      <c r="E33" s="6" t="s">
        <v>3</v>
      </c>
      <c r="F33" s="4">
        <v>0</v>
      </c>
      <c r="G33" s="4" t="s">
        <v>3</v>
      </c>
      <c r="H33" s="4">
        <v>1</v>
      </c>
      <c r="I33" s="4" t="s">
        <v>5</v>
      </c>
      <c r="J33" s="4">
        <v>1</v>
      </c>
      <c r="K33" s="4" t="s">
        <v>7</v>
      </c>
      <c r="L33" s="5">
        <v>1</v>
      </c>
      <c r="M33" s="7"/>
      <c r="N33" s="6" t="s">
        <v>3</v>
      </c>
      <c r="O33" s="4">
        <v>0</v>
      </c>
      <c r="P33" s="4" t="s">
        <v>3</v>
      </c>
      <c r="Q33" s="4">
        <v>1</v>
      </c>
      <c r="R33" s="4" t="s">
        <v>5</v>
      </c>
      <c r="S33" s="4">
        <v>1</v>
      </c>
      <c r="T33" s="4" t="s">
        <v>7</v>
      </c>
      <c r="U33" s="5">
        <v>1</v>
      </c>
      <c r="V33" s="7"/>
      <c r="W33" s="6" t="s">
        <v>3</v>
      </c>
      <c r="X33" s="4">
        <v>1</v>
      </c>
      <c r="Y33" s="4" t="s">
        <v>3</v>
      </c>
      <c r="Z33" s="4">
        <v>1</v>
      </c>
      <c r="AA33" s="4" t="s">
        <v>5</v>
      </c>
      <c r="AB33" s="4">
        <v>1</v>
      </c>
      <c r="AC33" s="4" t="s">
        <v>7</v>
      </c>
      <c r="AD33" s="5">
        <v>1</v>
      </c>
      <c r="AE33" s="7"/>
      <c r="AF33" s="6" t="s">
        <v>3</v>
      </c>
      <c r="AG33" s="4">
        <v>0</v>
      </c>
      <c r="AH33" s="4" t="s">
        <v>3</v>
      </c>
      <c r="AI33" s="4">
        <v>1</v>
      </c>
      <c r="AJ33" s="4" t="s">
        <v>5</v>
      </c>
      <c r="AK33" s="4">
        <v>1</v>
      </c>
      <c r="AL33" s="4" t="s">
        <v>7</v>
      </c>
      <c r="AM33" s="5">
        <v>1</v>
      </c>
      <c r="AN33" s="7"/>
      <c r="AO33" s="6" t="s">
        <v>13</v>
      </c>
      <c r="AP33" s="4" t="s">
        <v>13</v>
      </c>
      <c r="AQ33" s="4" t="s">
        <v>13</v>
      </c>
      <c r="AR33" s="5" t="s">
        <v>13</v>
      </c>
      <c r="AT33" s="4" t="s">
        <v>3</v>
      </c>
      <c r="AU33" s="4" t="str">
        <f t="shared" si="0"/>
        <v>Sim</v>
      </c>
      <c r="AV33" s="4" t="s">
        <v>5</v>
      </c>
      <c r="AW33" s="4" t="str">
        <f t="shared" si="1"/>
        <v>Sim</v>
      </c>
      <c r="AX33" s="4" t="s">
        <v>5</v>
      </c>
      <c r="AY33" s="4" t="str">
        <f t="shared" si="2"/>
        <v>Sim</v>
      </c>
      <c r="AZ33" s="4" t="s">
        <v>7</v>
      </c>
      <c r="BA33" s="4" t="str">
        <f t="shared" si="3"/>
        <v>Sim</v>
      </c>
      <c r="BB33" s="4" t="s">
        <v>7</v>
      </c>
      <c r="BC33" s="4" t="str">
        <f t="shared" si="4"/>
        <v>Sim</v>
      </c>
      <c r="BD33" s="4" t="s">
        <v>7</v>
      </c>
      <c r="BE33" s="4" t="str">
        <f t="shared" si="5"/>
        <v>Sim</v>
      </c>
      <c r="BF33" s="4" t="s">
        <v>3</v>
      </c>
      <c r="BG33" s="4" t="str">
        <f t="shared" si="6"/>
        <v>Sim</v>
      </c>
      <c r="BH33" s="4" t="s">
        <v>5</v>
      </c>
      <c r="BI33" s="4" t="str">
        <f t="shared" si="7"/>
        <v>Sim</v>
      </c>
      <c r="BJ33" s="4" t="s">
        <v>3</v>
      </c>
      <c r="BK33" s="4" t="str">
        <f t="shared" si="8"/>
        <v>Sim</v>
      </c>
      <c r="BL33" s="4" t="s">
        <v>5</v>
      </c>
      <c r="BM33" s="4" t="str">
        <f t="shared" si="9"/>
        <v>Sim</v>
      </c>
      <c r="BN33" s="4" t="s">
        <v>5</v>
      </c>
      <c r="BO33" s="4" t="str">
        <f t="shared" si="10"/>
        <v>Sim</v>
      </c>
      <c r="BP33" s="4" t="s">
        <v>5</v>
      </c>
      <c r="BQ33" s="4" t="str">
        <f t="shared" si="11"/>
        <v>Sim</v>
      </c>
      <c r="BR33" s="4" t="s">
        <v>5</v>
      </c>
      <c r="BS33" s="4" t="str">
        <f t="shared" si="12"/>
        <v>Sim</v>
      </c>
      <c r="BT33" s="4" t="s">
        <v>3</v>
      </c>
      <c r="BU33" s="4" t="str">
        <f t="shared" si="13"/>
        <v>Sim</v>
      </c>
      <c r="BV33" s="4" t="s">
        <v>1</v>
      </c>
      <c r="BW33" s="4" t="str">
        <f t="shared" si="14"/>
        <v>Sim</v>
      </c>
      <c r="BX33" s="4" t="s">
        <v>3</v>
      </c>
      <c r="BY33" s="4" t="str">
        <f t="shared" si="15"/>
        <v>Sim</v>
      </c>
      <c r="BZ33" s="4" t="s">
        <v>5</v>
      </c>
      <c r="CA33" s="4" t="str">
        <f t="shared" si="16"/>
        <v>Sim</v>
      </c>
    </row>
    <row r="34" spans="2:79">
      <c r="B34" s="46" t="s">
        <v>77</v>
      </c>
      <c r="C34" s="13" t="s">
        <v>87</v>
      </c>
      <c r="D34" s="54" t="s">
        <v>110</v>
      </c>
      <c r="E34" s="6" t="s">
        <v>3</v>
      </c>
      <c r="F34" s="4">
        <v>0</v>
      </c>
      <c r="G34" s="4" t="s">
        <v>3</v>
      </c>
      <c r="H34" s="4">
        <v>0</v>
      </c>
      <c r="I34" s="4" t="s">
        <v>5</v>
      </c>
      <c r="J34" s="4">
        <v>1</v>
      </c>
      <c r="K34" s="4" t="s">
        <v>5</v>
      </c>
      <c r="L34" s="5">
        <v>1</v>
      </c>
      <c r="M34" s="7"/>
      <c r="N34" s="6" t="s">
        <v>3</v>
      </c>
      <c r="O34" s="4">
        <v>0</v>
      </c>
      <c r="P34" s="4" t="s">
        <v>3</v>
      </c>
      <c r="Q34" s="4">
        <v>0</v>
      </c>
      <c r="R34" s="4" t="s">
        <v>5</v>
      </c>
      <c r="S34" s="4">
        <v>1</v>
      </c>
      <c r="T34" s="4" t="s">
        <v>5</v>
      </c>
      <c r="U34" s="5">
        <v>1</v>
      </c>
      <c r="V34" s="7"/>
      <c r="W34" s="6" t="s">
        <v>3</v>
      </c>
      <c r="X34" s="4">
        <v>0</v>
      </c>
      <c r="Y34" s="4" t="s">
        <v>3</v>
      </c>
      <c r="Z34" s="4">
        <v>0</v>
      </c>
      <c r="AA34" s="4" t="s">
        <v>5</v>
      </c>
      <c r="AB34" s="4">
        <v>1</v>
      </c>
      <c r="AC34" s="4" t="s">
        <v>5</v>
      </c>
      <c r="AD34" s="5">
        <v>1</v>
      </c>
      <c r="AE34" s="7"/>
      <c r="AF34" s="6" t="s">
        <v>3</v>
      </c>
      <c r="AG34" s="4">
        <v>0</v>
      </c>
      <c r="AH34" s="4" t="s">
        <v>3</v>
      </c>
      <c r="AI34" s="4">
        <v>1</v>
      </c>
      <c r="AJ34" s="4" t="s">
        <v>5</v>
      </c>
      <c r="AK34" s="4">
        <v>1</v>
      </c>
      <c r="AL34" s="4" t="s">
        <v>7</v>
      </c>
      <c r="AM34" s="5">
        <v>1</v>
      </c>
      <c r="AN34" s="7"/>
      <c r="AO34" s="6" t="s">
        <v>13</v>
      </c>
      <c r="AP34" s="4" t="s">
        <v>13</v>
      </c>
      <c r="AQ34" s="4" t="s">
        <v>13</v>
      </c>
      <c r="AR34" s="5" t="s">
        <v>13</v>
      </c>
      <c r="AT34" s="4" t="s">
        <v>3</v>
      </c>
      <c r="AU34" s="4" t="str">
        <f t="shared" si="0"/>
        <v>Sim</v>
      </c>
      <c r="AV34" s="4" t="s">
        <v>5</v>
      </c>
      <c r="AW34" s="4" t="str">
        <f t="shared" si="1"/>
        <v>Sim</v>
      </c>
      <c r="AX34" s="4" t="s">
        <v>5</v>
      </c>
      <c r="AY34" s="4" t="str">
        <f t="shared" si="2"/>
        <v>Sim</v>
      </c>
      <c r="AZ34" s="4" t="s">
        <v>3</v>
      </c>
      <c r="BA34" s="4" t="str">
        <f t="shared" si="3"/>
        <v>Sim</v>
      </c>
      <c r="BB34" s="4" t="s">
        <v>7</v>
      </c>
      <c r="BC34" s="4" t="str">
        <f t="shared" si="4"/>
        <v>Sim</v>
      </c>
      <c r="BD34" s="4" t="s">
        <v>5</v>
      </c>
      <c r="BE34" s="4" t="str">
        <f t="shared" si="5"/>
        <v>Sim</v>
      </c>
      <c r="BF34" s="4" t="s">
        <v>3</v>
      </c>
      <c r="BG34" s="4" t="str">
        <f t="shared" si="6"/>
        <v>Sim</v>
      </c>
      <c r="BH34" s="4" t="s">
        <v>5</v>
      </c>
      <c r="BI34" s="4" t="str">
        <f t="shared" si="7"/>
        <v>Sim</v>
      </c>
      <c r="BJ34" s="4" t="s">
        <v>3</v>
      </c>
      <c r="BK34" s="4" t="str">
        <f t="shared" si="8"/>
        <v>Sim</v>
      </c>
      <c r="BL34" s="4" t="s">
        <v>3</v>
      </c>
      <c r="BM34" s="4" t="str">
        <f t="shared" si="9"/>
        <v>Sim</v>
      </c>
      <c r="BN34" s="4" t="s">
        <v>7</v>
      </c>
      <c r="BO34" s="4" t="str">
        <f t="shared" si="10"/>
        <v>Sim</v>
      </c>
      <c r="BP34" s="4" t="s">
        <v>3</v>
      </c>
      <c r="BQ34" s="4" t="str">
        <f t="shared" si="11"/>
        <v>Sim</v>
      </c>
      <c r="BR34" s="4" t="s">
        <v>5</v>
      </c>
      <c r="BS34" s="4" t="str">
        <f t="shared" si="12"/>
        <v>Sim</v>
      </c>
      <c r="BT34" s="4" t="s">
        <v>5</v>
      </c>
      <c r="BU34" s="4" t="str">
        <f t="shared" si="13"/>
        <v>Sim</v>
      </c>
      <c r="BV34" s="4" t="s">
        <v>1</v>
      </c>
      <c r="BW34" s="4" t="str">
        <f t="shared" si="14"/>
        <v>Sim</v>
      </c>
      <c r="BX34" s="4" t="s">
        <v>5</v>
      </c>
      <c r="BY34" s="4" t="str">
        <f t="shared" si="15"/>
        <v>Sim</v>
      </c>
      <c r="BZ34" s="4" t="s">
        <v>3</v>
      </c>
      <c r="CA34" s="4" t="str">
        <f t="shared" si="16"/>
        <v>Sim</v>
      </c>
    </row>
    <row r="35" spans="2:79">
      <c r="B35" s="45" t="s">
        <v>77</v>
      </c>
      <c r="C35" s="44" t="s">
        <v>87</v>
      </c>
      <c r="D35" s="53" t="s">
        <v>111</v>
      </c>
      <c r="E35" s="6" t="s">
        <v>3</v>
      </c>
      <c r="F35" s="4">
        <v>0</v>
      </c>
      <c r="G35" s="4" t="s">
        <v>3</v>
      </c>
      <c r="H35" s="4">
        <v>0</v>
      </c>
      <c r="I35" s="4" t="s">
        <v>5</v>
      </c>
      <c r="J35" s="4">
        <v>1</v>
      </c>
      <c r="K35" s="4" t="s">
        <v>7</v>
      </c>
      <c r="L35" s="5">
        <v>1</v>
      </c>
      <c r="M35" s="7"/>
      <c r="N35" s="6" t="s">
        <v>3</v>
      </c>
      <c r="O35" s="4">
        <v>0</v>
      </c>
      <c r="P35" s="4" t="s">
        <v>3</v>
      </c>
      <c r="Q35" s="4">
        <v>0</v>
      </c>
      <c r="R35" s="4" t="s">
        <v>5</v>
      </c>
      <c r="S35" s="4">
        <v>1</v>
      </c>
      <c r="T35" s="4" t="s">
        <v>7</v>
      </c>
      <c r="U35" s="5">
        <v>1</v>
      </c>
      <c r="V35" s="7"/>
      <c r="W35" s="6" t="s">
        <v>3</v>
      </c>
      <c r="X35" s="4">
        <v>1</v>
      </c>
      <c r="Y35" s="4" t="s">
        <v>3</v>
      </c>
      <c r="Z35" s="4">
        <v>1</v>
      </c>
      <c r="AA35" s="4" t="s">
        <v>5</v>
      </c>
      <c r="AB35" s="4">
        <v>1</v>
      </c>
      <c r="AC35" s="4" t="s">
        <v>5</v>
      </c>
      <c r="AD35" s="5">
        <v>1</v>
      </c>
      <c r="AE35" s="7"/>
      <c r="AF35" s="6" t="s">
        <v>3</v>
      </c>
      <c r="AG35" s="4">
        <v>0</v>
      </c>
      <c r="AH35" s="4" t="s">
        <v>3</v>
      </c>
      <c r="AI35" s="4">
        <v>1</v>
      </c>
      <c r="AJ35" s="4" t="s">
        <v>5</v>
      </c>
      <c r="AK35" s="4">
        <v>1</v>
      </c>
      <c r="AL35" s="4" t="s">
        <v>5</v>
      </c>
      <c r="AM35" s="5">
        <v>1</v>
      </c>
      <c r="AN35" s="7"/>
      <c r="AO35" s="6" t="s">
        <v>13</v>
      </c>
      <c r="AP35" s="4" t="s">
        <v>13</v>
      </c>
      <c r="AQ35" s="4" t="s">
        <v>13</v>
      </c>
      <c r="AR35" s="5" t="s">
        <v>13</v>
      </c>
      <c r="AT35" s="4" t="s">
        <v>5</v>
      </c>
      <c r="AU35" s="4" t="str">
        <f t="shared" si="0"/>
        <v>Sim</v>
      </c>
      <c r="AV35" s="4" t="s">
        <v>5</v>
      </c>
      <c r="AW35" s="4" t="str">
        <f t="shared" si="1"/>
        <v>Sim</v>
      </c>
      <c r="AX35" s="4" t="s">
        <v>5</v>
      </c>
      <c r="AY35" s="4" t="str">
        <f t="shared" si="2"/>
        <v>Sim</v>
      </c>
      <c r="AZ35" s="4" t="s">
        <v>7</v>
      </c>
      <c r="BA35" s="4" t="str">
        <f t="shared" si="3"/>
        <v>Sim</v>
      </c>
      <c r="BB35" s="4" t="s">
        <v>5</v>
      </c>
      <c r="BC35" s="4" t="str">
        <f t="shared" si="4"/>
        <v>Sim</v>
      </c>
      <c r="BD35" s="4" t="s">
        <v>5</v>
      </c>
      <c r="BE35" s="4" t="str">
        <f t="shared" si="5"/>
        <v>Sim</v>
      </c>
      <c r="BF35" s="4" t="s">
        <v>3</v>
      </c>
      <c r="BG35" s="4" t="str">
        <f t="shared" si="6"/>
        <v>Sim</v>
      </c>
      <c r="BH35" s="4" t="s">
        <v>7</v>
      </c>
      <c r="BI35" s="4" t="str">
        <f t="shared" si="7"/>
        <v>Sim</v>
      </c>
      <c r="BJ35" s="4" t="s">
        <v>5</v>
      </c>
      <c r="BK35" s="4" t="str">
        <f t="shared" si="8"/>
        <v>Sim</v>
      </c>
      <c r="BL35" s="4" t="s">
        <v>5</v>
      </c>
      <c r="BM35" s="4" t="str">
        <f t="shared" si="9"/>
        <v>Sim</v>
      </c>
      <c r="BN35" s="4" t="s">
        <v>5</v>
      </c>
      <c r="BO35" s="4" t="str">
        <f t="shared" si="10"/>
        <v>Sim</v>
      </c>
      <c r="BP35" s="4" t="s">
        <v>7</v>
      </c>
      <c r="BQ35" s="4" t="str">
        <f t="shared" si="11"/>
        <v>Sim</v>
      </c>
      <c r="BR35" s="4" t="s">
        <v>5</v>
      </c>
      <c r="BS35" s="4" t="str">
        <f t="shared" si="12"/>
        <v>Sim</v>
      </c>
      <c r="BT35" s="4" t="s">
        <v>3</v>
      </c>
      <c r="BU35" s="4" t="str">
        <f t="shared" si="13"/>
        <v>Sim</v>
      </c>
      <c r="BV35" s="4" t="s">
        <v>5</v>
      </c>
      <c r="BW35" s="4" t="str">
        <f t="shared" si="14"/>
        <v>Sim</v>
      </c>
      <c r="BX35" s="4" t="s">
        <v>5</v>
      </c>
      <c r="BY35" s="4" t="str">
        <f t="shared" si="15"/>
        <v>Sim</v>
      </c>
      <c r="BZ35" s="4" t="s">
        <v>5</v>
      </c>
      <c r="CA35" s="4" t="str">
        <f t="shared" si="16"/>
        <v>Sim</v>
      </c>
    </row>
    <row r="36" spans="2:79">
      <c r="B36" s="46" t="s">
        <v>77</v>
      </c>
      <c r="C36" s="13" t="s">
        <v>87</v>
      </c>
      <c r="D36" s="54" t="s">
        <v>112</v>
      </c>
      <c r="E36" s="6" t="s">
        <v>17</v>
      </c>
      <c r="F36" s="4" t="s">
        <v>17</v>
      </c>
      <c r="G36" s="4" t="s">
        <v>17</v>
      </c>
      <c r="H36" s="4" t="s">
        <v>17</v>
      </c>
      <c r="I36" s="4" t="s">
        <v>3</v>
      </c>
      <c r="J36" s="4">
        <v>0</v>
      </c>
      <c r="K36" s="4" t="s">
        <v>5</v>
      </c>
      <c r="L36" s="5">
        <v>1</v>
      </c>
      <c r="M36" s="7"/>
      <c r="N36" s="6" t="s">
        <v>17</v>
      </c>
      <c r="O36" s="4" t="s">
        <v>17</v>
      </c>
      <c r="P36" s="4" t="s">
        <v>17</v>
      </c>
      <c r="Q36" s="4" t="s">
        <v>17</v>
      </c>
      <c r="R36" s="4" t="s">
        <v>3</v>
      </c>
      <c r="S36" s="4">
        <v>0</v>
      </c>
      <c r="T36" s="4" t="s">
        <v>5</v>
      </c>
      <c r="U36" s="5">
        <v>1</v>
      </c>
      <c r="V36" s="7"/>
      <c r="W36" s="6" t="s">
        <v>17</v>
      </c>
      <c r="X36" s="4" t="s">
        <v>17</v>
      </c>
      <c r="Y36" s="4" t="s">
        <v>17</v>
      </c>
      <c r="Z36" s="4" t="s">
        <v>17</v>
      </c>
      <c r="AA36" s="4" t="s">
        <v>17</v>
      </c>
      <c r="AB36" s="4" t="s">
        <v>17</v>
      </c>
      <c r="AC36" s="4" t="s">
        <v>17</v>
      </c>
      <c r="AD36" s="5" t="s">
        <v>17</v>
      </c>
      <c r="AE36" s="7"/>
      <c r="AF36" s="6" t="s">
        <v>17</v>
      </c>
      <c r="AG36" s="4" t="s">
        <v>17</v>
      </c>
      <c r="AH36" s="4" t="s">
        <v>17</v>
      </c>
      <c r="AI36" s="4" t="s">
        <v>17</v>
      </c>
      <c r="AJ36" s="4" t="s">
        <v>17</v>
      </c>
      <c r="AK36" s="4" t="s">
        <v>17</v>
      </c>
      <c r="AL36" s="4" t="s">
        <v>17</v>
      </c>
      <c r="AM36" s="5" t="s">
        <v>17</v>
      </c>
      <c r="AN36" s="7"/>
      <c r="AO36" s="6" t="s">
        <v>13</v>
      </c>
      <c r="AP36" s="4" t="s">
        <v>13</v>
      </c>
      <c r="AQ36" s="4" t="s">
        <v>15</v>
      </c>
      <c r="AR36" s="5" t="s">
        <v>15</v>
      </c>
      <c r="AT36" s="4" t="s">
        <v>3</v>
      </c>
      <c r="AU36" s="4" t="str">
        <f t="shared" si="0"/>
        <v>N</v>
      </c>
      <c r="AV36" s="4" t="s">
        <v>3</v>
      </c>
      <c r="AW36" s="4" t="str">
        <f t="shared" si="1"/>
        <v>Sim</v>
      </c>
      <c r="AX36" s="4" t="s">
        <v>5</v>
      </c>
      <c r="AY36" s="4" t="str">
        <f t="shared" si="2"/>
        <v>Sim</v>
      </c>
      <c r="AZ36" s="4" t="s">
        <v>5</v>
      </c>
      <c r="BA36" s="4" t="str">
        <f t="shared" si="3"/>
        <v>Sim</v>
      </c>
      <c r="BB36" s="4" t="s">
        <v>17</v>
      </c>
      <c r="BC36" s="4" t="str">
        <f t="shared" si="4"/>
        <v>N</v>
      </c>
      <c r="BD36" s="4" t="s">
        <v>17</v>
      </c>
      <c r="BE36" s="4" t="str">
        <f t="shared" si="5"/>
        <v>N</v>
      </c>
      <c r="BF36" s="4" t="s">
        <v>17</v>
      </c>
      <c r="BG36" s="4" t="str">
        <f t="shared" si="6"/>
        <v>N</v>
      </c>
      <c r="BH36" s="4" t="s">
        <v>5</v>
      </c>
      <c r="BI36" s="4" t="str">
        <f t="shared" si="7"/>
        <v>Sim</v>
      </c>
      <c r="BJ36" s="4" t="s">
        <v>17</v>
      </c>
      <c r="BK36" s="4" t="str">
        <f t="shared" si="8"/>
        <v>N</v>
      </c>
      <c r="BL36" s="4" t="s">
        <v>17</v>
      </c>
      <c r="BM36" s="4" t="str">
        <f t="shared" si="9"/>
        <v>N</v>
      </c>
      <c r="BN36" s="4" t="s">
        <v>17</v>
      </c>
      <c r="BO36" s="4" t="str">
        <f t="shared" si="10"/>
        <v>N</v>
      </c>
      <c r="BP36" s="4" t="s">
        <v>5</v>
      </c>
      <c r="BQ36" s="4" t="str">
        <f t="shared" si="11"/>
        <v>Sim</v>
      </c>
      <c r="BR36" s="4" t="s">
        <v>5</v>
      </c>
      <c r="BS36" s="4" t="str">
        <f t="shared" si="12"/>
        <v>Sim</v>
      </c>
      <c r="BT36" s="4" t="s">
        <v>1</v>
      </c>
      <c r="BU36" s="4" t="str">
        <f t="shared" si="13"/>
        <v>N</v>
      </c>
      <c r="BV36" s="4" t="s">
        <v>5</v>
      </c>
      <c r="BW36" s="4" t="str">
        <f t="shared" si="14"/>
        <v>N</v>
      </c>
      <c r="BX36" s="4" t="s">
        <v>3</v>
      </c>
      <c r="BY36" s="4" t="str">
        <f t="shared" si="15"/>
        <v>N</v>
      </c>
      <c r="BZ36" s="4" t="s">
        <v>3</v>
      </c>
      <c r="CA36" s="4" t="str">
        <f t="shared" si="16"/>
        <v>N</v>
      </c>
    </row>
    <row r="37" spans="2:79">
      <c r="B37" s="45" t="s">
        <v>77</v>
      </c>
      <c r="C37" s="44" t="s">
        <v>87</v>
      </c>
      <c r="D37" s="53" t="s">
        <v>113</v>
      </c>
      <c r="E37" s="6" t="s">
        <v>3</v>
      </c>
      <c r="F37" s="4">
        <v>0</v>
      </c>
      <c r="G37" s="4" t="s">
        <v>3</v>
      </c>
      <c r="H37" s="4">
        <v>0</v>
      </c>
      <c r="I37" s="4" t="s">
        <v>5</v>
      </c>
      <c r="J37" s="4">
        <v>1</v>
      </c>
      <c r="K37" s="4" t="s">
        <v>7</v>
      </c>
      <c r="L37" s="5">
        <v>1</v>
      </c>
      <c r="M37" s="7"/>
      <c r="N37" s="6" t="s">
        <v>3</v>
      </c>
      <c r="O37" s="4">
        <v>0</v>
      </c>
      <c r="P37" s="4" t="s">
        <v>3</v>
      </c>
      <c r="Q37" s="4">
        <v>0</v>
      </c>
      <c r="R37" s="4" t="s">
        <v>5</v>
      </c>
      <c r="S37" s="4">
        <v>1</v>
      </c>
      <c r="T37" s="4" t="s">
        <v>7</v>
      </c>
      <c r="U37" s="5">
        <v>1</v>
      </c>
      <c r="V37" s="7"/>
      <c r="W37" s="6" t="s">
        <v>17</v>
      </c>
      <c r="X37" s="4" t="s">
        <v>17</v>
      </c>
      <c r="Y37" s="4" t="s">
        <v>3</v>
      </c>
      <c r="Z37" s="4">
        <v>1</v>
      </c>
      <c r="AA37" s="4" t="s">
        <v>5</v>
      </c>
      <c r="AB37" s="4">
        <v>1</v>
      </c>
      <c r="AC37" s="4" t="s">
        <v>5</v>
      </c>
      <c r="AD37" s="5">
        <v>1</v>
      </c>
      <c r="AE37" s="7"/>
      <c r="AF37" s="6" t="s">
        <v>3</v>
      </c>
      <c r="AG37" s="4">
        <v>0</v>
      </c>
      <c r="AH37" s="4" t="s">
        <v>3</v>
      </c>
      <c r="AI37" s="4">
        <v>1</v>
      </c>
      <c r="AJ37" s="4" t="s">
        <v>5</v>
      </c>
      <c r="AK37" s="4">
        <v>1</v>
      </c>
      <c r="AL37" s="4" t="s">
        <v>5</v>
      </c>
      <c r="AM37" s="5">
        <v>1</v>
      </c>
      <c r="AN37" s="7"/>
      <c r="AO37" s="6" t="s">
        <v>13</v>
      </c>
      <c r="AP37" s="4" t="s">
        <v>13</v>
      </c>
      <c r="AQ37" s="4" t="s">
        <v>13</v>
      </c>
      <c r="AR37" s="5" t="s">
        <v>13</v>
      </c>
      <c r="AT37" s="4" t="s">
        <v>5</v>
      </c>
      <c r="AU37" s="4" t="str">
        <f t="shared" si="0"/>
        <v>Sim</v>
      </c>
      <c r="AV37" s="4" t="s">
        <v>5</v>
      </c>
      <c r="AW37" s="4" t="str">
        <f t="shared" si="1"/>
        <v>Sim</v>
      </c>
      <c r="AX37" s="4" t="s">
        <v>5</v>
      </c>
      <c r="AY37" s="4" t="str">
        <f t="shared" si="2"/>
        <v>Sim</v>
      </c>
      <c r="AZ37" s="4" t="s">
        <v>3</v>
      </c>
      <c r="BA37" s="4" t="str">
        <f t="shared" si="3"/>
        <v>Sim</v>
      </c>
      <c r="BB37" s="4" t="s">
        <v>5</v>
      </c>
      <c r="BC37" s="4" t="str">
        <f t="shared" si="4"/>
        <v>Sim</v>
      </c>
      <c r="BD37" s="4" t="s">
        <v>5</v>
      </c>
      <c r="BE37" s="4" t="str">
        <f t="shared" si="5"/>
        <v>Sim</v>
      </c>
      <c r="BF37" s="4" t="s">
        <v>3</v>
      </c>
      <c r="BG37" s="4" t="str">
        <f t="shared" si="6"/>
        <v>Sim</v>
      </c>
      <c r="BH37" s="4" t="s">
        <v>7</v>
      </c>
      <c r="BI37" s="4" t="str">
        <f t="shared" si="7"/>
        <v>Sim</v>
      </c>
      <c r="BJ37" s="4" t="s">
        <v>3</v>
      </c>
      <c r="BK37" s="4" t="str">
        <f t="shared" si="8"/>
        <v>Sim</v>
      </c>
      <c r="BL37" s="4" t="s">
        <v>5</v>
      </c>
      <c r="BM37" s="4" t="str">
        <f t="shared" si="9"/>
        <v>Sim</v>
      </c>
      <c r="BN37" s="4" t="s">
        <v>5</v>
      </c>
      <c r="BO37" s="4" t="str">
        <f t="shared" si="10"/>
        <v>Sim</v>
      </c>
      <c r="BP37" s="4" t="s">
        <v>3</v>
      </c>
      <c r="BQ37" s="4" t="str">
        <f t="shared" si="11"/>
        <v>Sim</v>
      </c>
      <c r="BR37" s="4" t="s">
        <v>5</v>
      </c>
      <c r="BS37" s="4" t="str">
        <f t="shared" si="12"/>
        <v>Sim</v>
      </c>
      <c r="BT37" s="4" t="s">
        <v>3</v>
      </c>
      <c r="BU37" s="4" t="str">
        <f t="shared" si="13"/>
        <v>Sim</v>
      </c>
      <c r="BV37" s="4" t="s">
        <v>3</v>
      </c>
      <c r="BW37" s="4" t="str">
        <f t="shared" si="14"/>
        <v>Sim</v>
      </c>
      <c r="BX37" s="4" t="s">
        <v>3</v>
      </c>
      <c r="BY37" s="4" t="str">
        <f t="shared" si="15"/>
        <v>Sim</v>
      </c>
      <c r="BZ37" s="4" t="s">
        <v>5</v>
      </c>
      <c r="CA37" s="4" t="str">
        <f t="shared" si="16"/>
        <v>Sim</v>
      </c>
    </row>
    <row r="38" spans="2:79" ht="17.25" customHeight="1">
      <c r="B38" s="46" t="s">
        <v>77</v>
      </c>
      <c r="C38" s="13" t="s">
        <v>87</v>
      </c>
      <c r="D38" s="54" t="s">
        <v>114</v>
      </c>
      <c r="E38" s="6" t="s">
        <v>3</v>
      </c>
      <c r="F38" s="4">
        <v>1</v>
      </c>
      <c r="G38" s="4" t="s">
        <v>5</v>
      </c>
      <c r="H38" s="4">
        <v>1</v>
      </c>
      <c r="I38" s="4" t="s">
        <v>7</v>
      </c>
      <c r="J38" s="4">
        <v>1</v>
      </c>
      <c r="K38" s="4" t="s">
        <v>7</v>
      </c>
      <c r="L38" s="5">
        <v>1</v>
      </c>
      <c r="M38" s="7"/>
      <c r="N38" s="6" t="s">
        <v>3</v>
      </c>
      <c r="O38" s="4">
        <v>1</v>
      </c>
      <c r="P38" s="4" t="s">
        <v>5</v>
      </c>
      <c r="Q38" s="4">
        <v>1</v>
      </c>
      <c r="R38" s="4" t="s">
        <v>7</v>
      </c>
      <c r="S38" s="4">
        <v>1</v>
      </c>
      <c r="T38" s="4" t="s">
        <v>7</v>
      </c>
      <c r="U38" s="5">
        <v>1</v>
      </c>
      <c r="V38" s="7"/>
      <c r="W38" s="6" t="s">
        <v>3</v>
      </c>
      <c r="X38" s="4">
        <v>1</v>
      </c>
      <c r="Y38" s="4" t="s">
        <v>3</v>
      </c>
      <c r="Z38" s="4">
        <v>1</v>
      </c>
      <c r="AA38" s="4" t="s">
        <v>5</v>
      </c>
      <c r="AB38" s="4">
        <v>1</v>
      </c>
      <c r="AC38" s="4" t="s">
        <v>5</v>
      </c>
      <c r="AD38" s="5">
        <v>1</v>
      </c>
      <c r="AE38" s="7"/>
      <c r="AF38" s="6" t="s">
        <v>3</v>
      </c>
      <c r="AG38" s="4">
        <v>1</v>
      </c>
      <c r="AH38" s="4" t="s">
        <v>3</v>
      </c>
      <c r="AI38" s="4">
        <v>1</v>
      </c>
      <c r="AJ38" s="4" t="s">
        <v>5</v>
      </c>
      <c r="AK38" s="4">
        <v>1</v>
      </c>
      <c r="AL38" s="4" t="s">
        <v>5</v>
      </c>
      <c r="AM38" s="5">
        <v>1</v>
      </c>
      <c r="AN38" s="7"/>
      <c r="AO38" s="6" t="s">
        <v>13</v>
      </c>
      <c r="AP38" s="4" t="s">
        <v>13</v>
      </c>
      <c r="AQ38" s="4" t="s">
        <v>13</v>
      </c>
      <c r="AR38" s="5" t="s">
        <v>13</v>
      </c>
      <c r="AT38" s="4" t="s">
        <v>5</v>
      </c>
      <c r="AU38" s="4" t="str">
        <f t="shared" si="0"/>
        <v>Sim</v>
      </c>
      <c r="AV38" s="4" t="s">
        <v>7</v>
      </c>
      <c r="AW38" s="4" t="str">
        <f t="shared" si="1"/>
        <v>Sim</v>
      </c>
      <c r="AX38" s="4" t="s">
        <v>7</v>
      </c>
      <c r="AY38" s="4" t="str">
        <f t="shared" si="2"/>
        <v>Sim</v>
      </c>
      <c r="AZ38" s="4" t="s">
        <v>7</v>
      </c>
      <c r="BA38" s="4" t="str">
        <f t="shared" si="3"/>
        <v>Sim</v>
      </c>
      <c r="BB38" s="4" t="s">
        <v>5</v>
      </c>
      <c r="BC38" s="4" t="str">
        <f t="shared" si="4"/>
        <v>Sim</v>
      </c>
      <c r="BD38" s="4" t="s">
        <v>5</v>
      </c>
      <c r="BE38" s="4" t="str">
        <f t="shared" si="5"/>
        <v>Sim</v>
      </c>
      <c r="BF38" s="4" t="s">
        <v>3</v>
      </c>
      <c r="BG38" s="4" t="str">
        <f t="shared" si="6"/>
        <v>Sim</v>
      </c>
      <c r="BH38" s="4" t="s">
        <v>7</v>
      </c>
      <c r="BI38" s="4" t="str">
        <f t="shared" si="7"/>
        <v>Sim</v>
      </c>
      <c r="BJ38" s="4" t="s">
        <v>5</v>
      </c>
      <c r="BK38" s="4" t="str">
        <f t="shared" si="8"/>
        <v>Sim</v>
      </c>
      <c r="BL38" s="4" t="s">
        <v>5</v>
      </c>
      <c r="BM38" s="4" t="str">
        <f t="shared" si="9"/>
        <v>Sim</v>
      </c>
      <c r="BN38" s="4" t="s">
        <v>7</v>
      </c>
      <c r="BO38" s="4" t="str">
        <f t="shared" si="10"/>
        <v>Sim</v>
      </c>
      <c r="BP38" s="4" t="s">
        <v>5</v>
      </c>
      <c r="BQ38" s="4" t="str">
        <f t="shared" si="11"/>
        <v>Sim</v>
      </c>
      <c r="BR38" s="4" t="s">
        <v>7</v>
      </c>
      <c r="BS38" s="4" t="str">
        <f t="shared" si="12"/>
        <v>Sim</v>
      </c>
      <c r="BT38" s="4" t="s">
        <v>5</v>
      </c>
      <c r="BU38" s="4" t="str">
        <f t="shared" si="13"/>
        <v>Sim</v>
      </c>
      <c r="BV38" s="4" t="s">
        <v>5</v>
      </c>
      <c r="BW38" s="4" t="str">
        <f t="shared" si="14"/>
        <v>Sim</v>
      </c>
      <c r="BX38" s="4" t="s">
        <v>5</v>
      </c>
      <c r="BY38" s="4" t="str">
        <f t="shared" si="15"/>
        <v>Sim</v>
      </c>
      <c r="BZ38" s="4" t="s">
        <v>7</v>
      </c>
      <c r="CA38" s="4" t="str">
        <f t="shared" si="16"/>
        <v>Sim</v>
      </c>
    </row>
    <row r="39" spans="2:79">
      <c r="B39" s="45" t="s">
        <v>77</v>
      </c>
      <c r="C39" s="44" t="s">
        <v>87</v>
      </c>
      <c r="D39" s="53" t="s">
        <v>115</v>
      </c>
      <c r="E39" s="6" t="s">
        <v>17</v>
      </c>
      <c r="F39" s="4" t="s">
        <v>17</v>
      </c>
      <c r="G39" s="4" t="s">
        <v>17</v>
      </c>
      <c r="H39" s="4" t="s">
        <v>17</v>
      </c>
      <c r="I39" s="4" t="s">
        <v>17</v>
      </c>
      <c r="J39" s="4" t="s">
        <v>17</v>
      </c>
      <c r="K39" s="4" t="s">
        <v>17</v>
      </c>
      <c r="L39" s="5" t="s">
        <v>17</v>
      </c>
      <c r="M39" s="7"/>
      <c r="N39" s="6" t="s">
        <v>3</v>
      </c>
      <c r="O39" s="4">
        <v>0</v>
      </c>
      <c r="P39" s="4" t="s">
        <v>3</v>
      </c>
      <c r="Q39" s="4">
        <v>0</v>
      </c>
      <c r="R39" s="4" t="s">
        <v>3</v>
      </c>
      <c r="S39" s="4">
        <v>0</v>
      </c>
      <c r="T39" s="4" t="s">
        <v>5</v>
      </c>
      <c r="U39" s="5">
        <v>0</v>
      </c>
      <c r="V39" s="7"/>
      <c r="W39" s="6" t="s">
        <v>3</v>
      </c>
      <c r="X39" s="4">
        <v>0</v>
      </c>
      <c r="Y39" s="4" t="s">
        <v>3</v>
      </c>
      <c r="Z39" s="4">
        <v>1</v>
      </c>
      <c r="AA39" s="4" t="s">
        <v>5</v>
      </c>
      <c r="AB39" s="4">
        <v>1</v>
      </c>
      <c r="AC39" s="4" t="s">
        <v>7</v>
      </c>
      <c r="AD39" s="5">
        <v>1</v>
      </c>
      <c r="AE39" s="7"/>
      <c r="AF39" s="6" t="s">
        <v>17</v>
      </c>
      <c r="AG39" s="4" t="s">
        <v>17</v>
      </c>
      <c r="AH39" s="4" t="s">
        <v>17</v>
      </c>
      <c r="AI39" s="4" t="s">
        <v>17</v>
      </c>
      <c r="AJ39" s="4" t="s">
        <v>17</v>
      </c>
      <c r="AK39" s="4" t="s">
        <v>17</v>
      </c>
      <c r="AL39" s="4" t="s">
        <v>17</v>
      </c>
      <c r="AM39" s="5" t="s">
        <v>17</v>
      </c>
      <c r="AN39" s="7"/>
      <c r="AO39" s="6" t="s">
        <v>15</v>
      </c>
      <c r="AP39" s="4" t="s">
        <v>13</v>
      </c>
      <c r="AQ39" s="4" t="s">
        <v>13</v>
      </c>
      <c r="AR39" s="5" t="s">
        <v>15</v>
      </c>
      <c r="AT39" s="4" t="s">
        <v>5</v>
      </c>
      <c r="AU39" s="4" t="str">
        <f t="shared" si="0"/>
        <v>Sim</v>
      </c>
      <c r="AV39" s="4" t="s">
        <v>17</v>
      </c>
      <c r="AW39" s="4" t="str">
        <f t="shared" si="1"/>
        <v>N</v>
      </c>
      <c r="AX39" s="4" t="s">
        <v>5</v>
      </c>
      <c r="AY39" s="4" t="str">
        <f t="shared" si="2"/>
        <v>Sim</v>
      </c>
      <c r="AZ39" s="4" t="s">
        <v>17</v>
      </c>
      <c r="BA39" s="4" t="str">
        <f t="shared" si="3"/>
        <v>N</v>
      </c>
      <c r="BB39" s="4" t="s">
        <v>17</v>
      </c>
      <c r="BC39" s="4" t="str">
        <f t="shared" si="4"/>
        <v>N</v>
      </c>
      <c r="BD39" s="4" t="s">
        <v>7</v>
      </c>
      <c r="BE39" s="4" t="str">
        <f t="shared" si="5"/>
        <v>Sim</v>
      </c>
      <c r="BF39" s="4" t="s">
        <v>5</v>
      </c>
      <c r="BG39" s="4" t="str">
        <f t="shared" si="6"/>
        <v>Sim</v>
      </c>
      <c r="BH39" s="4" t="s">
        <v>17</v>
      </c>
      <c r="BI39" s="4" t="str">
        <f t="shared" si="7"/>
        <v>N</v>
      </c>
      <c r="BJ39" s="4" t="s">
        <v>3</v>
      </c>
      <c r="BK39" s="4" t="str">
        <f t="shared" si="8"/>
        <v>Sim</v>
      </c>
      <c r="BL39" s="4" t="s">
        <v>5</v>
      </c>
      <c r="BM39" s="4" t="str">
        <f t="shared" si="9"/>
        <v>Sim</v>
      </c>
      <c r="BN39" s="4" t="s">
        <v>17</v>
      </c>
      <c r="BO39" s="4" t="str">
        <f t="shared" si="10"/>
        <v>N</v>
      </c>
      <c r="BP39" s="4" t="s">
        <v>5</v>
      </c>
      <c r="BQ39" s="4" t="str">
        <f t="shared" si="11"/>
        <v>Sim</v>
      </c>
      <c r="BR39" s="4" t="s">
        <v>17</v>
      </c>
      <c r="BS39" s="4" t="str">
        <f t="shared" si="12"/>
        <v>N</v>
      </c>
      <c r="BT39" s="4" t="s">
        <v>17</v>
      </c>
      <c r="BU39" s="4" t="str">
        <f t="shared" si="13"/>
        <v>N</v>
      </c>
      <c r="BV39" s="4" t="s">
        <v>17</v>
      </c>
      <c r="BW39" s="4" t="str">
        <f t="shared" si="14"/>
        <v>N</v>
      </c>
      <c r="BX39" s="4" t="s">
        <v>5</v>
      </c>
      <c r="BY39" s="4" t="str">
        <f t="shared" si="15"/>
        <v>Sim</v>
      </c>
      <c r="BZ39" s="4" t="s">
        <v>17</v>
      </c>
      <c r="CA39" s="4" t="str">
        <f t="shared" si="16"/>
        <v>N</v>
      </c>
    </row>
    <row r="40" spans="2:79">
      <c r="B40" s="46" t="s">
        <v>77</v>
      </c>
      <c r="C40" s="13" t="s">
        <v>87</v>
      </c>
      <c r="D40" s="54" t="s">
        <v>116</v>
      </c>
      <c r="E40" s="6" t="s">
        <v>17</v>
      </c>
      <c r="F40" s="4" t="s">
        <v>17</v>
      </c>
      <c r="G40" s="4" t="s">
        <v>3</v>
      </c>
      <c r="H40" s="4">
        <v>0</v>
      </c>
      <c r="I40" s="4" t="s">
        <v>5</v>
      </c>
      <c r="J40" s="4">
        <v>1</v>
      </c>
      <c r="K40" s="4" t="s">
        <v>5</v>
      </c>
      <c r="L40" s="5">
        <v>1</v>
      </c>
      <c r="M40" s="7"/>
      <c r="N40" s="6" t="s">
        <v>3</v>
      </c>
      <c r="O40" s="4">
        <v>0</v>
      </c>
      <c r="P40" s="4" t="s">
        <v>3</v>
      </c>
      <c r="Q40" s="4">
        <v>1</v>
      </c>
      <c r="R40" s="4" t="s">
        <v>5</v>
      </c>
      <c r="S40" s="4">
        <v>1</v>
      </c>
      <c r="T40" s="4" t="s">
        <v>5</v>
      </c>
      <c r="U40" s="5">
        <v>1</v>
      </c>
      <c r="V40" s="7"/>
      <c r="W40" s="6" t="s">
        <v>17</v>
      </c>
      <c r="X40" s="4" t="s">
        <v>17</v>
      </c>
      <c r="Y40" s="4" t="s">
        <v>3</v>
      </c>
      <c r="Z40" s="4">
        <v>0</v>
      </c>
      <c r="AA40" s="4" t="s">
        <v>3</v>
      </c>
      <c r="AB40" s="4">
        <v>1</v>
      </c>
      <c r="AC40" s="4" t="s">
        <v>5</v>
      </c>
      <c r="AD40" s="5">
        <v>1</v>
      </c>
      <c r="AE40" s="7"/>
      <c r="AF40" s="6" t="s">
        <v>17</v>
      </c>
      <c r="AG40" s="4" t="s">
        <v>17</v>
      </c>
      <c r="AH40" s="4" t="s">
        <v>17</v>
      </c>
      <c r="AI40" s="4" t="s">
        <v>17</v>
      </c>
      <c r="AJ40" s="4" t="s">
        <v>3</v>
      </c>
      <c r="AK40" s="4">
        <v>0</v>
      </c>
      <c r="AL40" s="4" t="s">
        <v>3</v>
      </c>
      <c r="AM40" s="5">
        <v>0</v>
      </c>
      <c r="AN40" s="7"/>
      <c r="AO40" s="6" t="s">
        <v>13</v>
      </c>
      <c r="AP40" s="4" t="s">
        <v>13</v>
      </c>
      <c r="AQ40" s="4" t="s">
        <v>13</v>
      </c>
      <c r="AR40" s="5" t="s">
        <v>13</v>
      </c>
      <c r="AT40" s="4" t="s">
        <v>3</v>
      </c>
      <c r="AU40" s="4" t="str">
        <f t="shared" si="0"/>
        <v>Sim</v>
      </c>
      <c r="AV40" s="4" t="s">
        <v>5</v>
      </c>
      <c r="AW40" s="4" t="str">
        <f t="shared" si="1"/>
        <v>Sim</v>
      </c>
      <c r="AX40" s="4" t="s">
        <v>5</v>
      </c>
      <c r="AY40" s="4" t="str">
        <f t="shared" si="2"/>
        <v>Sim</v>
      </c>
      <c r="AZ40" s="4" t="s">
        <v>1</v>
      </c>
      <c r="BA40" s="4" t="str">
        <f t="shared" si="3"/>
        <v>Sim</v>
      </c>
      <c r="BB40" s="4" t="s">
        <v>5</v>
      </c>
      <c r="BC40" s="4" t="str">
        <f t="shared" si="4"/>
        <v>Sim</v>
      </c>
      <c r="BD40" s="4" t="s">
        <v>5</v>
      </c>
      <c r="BE40" s="4" t="str">
        <f t="shared" si="5"/>
        <v>Sim</v>
      </c>
      <c r="BF40" s="4" t="s">
        <v>1</v>
      </c>
      <c r="BG40" s="4" t="str">
        <f t="shared" si="6"/>
        <v>Sim</v>
      </c>
      <c r="BH40" s="4" t="s">
        <v>5</v>
      </c>
      <c r="BI40" s="4" t="str">
        <f t="shared" si="7"/>
        <v>Sim</v>
      </c>
      <c r="BJ40" s="4" t="s">
        <v>1</v>
      </c>
      <c r="BK40" s="4" t="str">
        <f t="shared" si="8"/>
        <v>Sim</v>
      </c>
      <c r="BL40" s="4" t="s">
        <v>1</v>
      </c>
      <c r="BM40" s="4" t="str">
        <f t="shared" si="9"/>
        <v>Sim</v>
      </c>
      <c r="BN40" s="4" t="s">
        <v>5</v>
      </c>
      <c r="BO40" s="4" t="str">
        <f t="shared" si="10"/>
        <v>Sim</v>
      </c>
      <c r="BP40" s="4" t="s">
        <v>3</v>
      </c>
      <c r="BQ40" s="4" t="str">
        <f t="shared" si="11"/>
        <v>Sim</v>
      </c>
      <c r="BR40" s="4" t="s">
        <v>5</v>
      </c>
      <c r="BS40" s="4" t="str">
        <f t="shared" si="12"/>
        <v>Sim</v>
      </c>
      <c r="BT40" s="4" t="s">
        <v>3</v>
      </c>
      <c r="BU40" s="4" t="str">
        <f t="shared" si="13"/>
        <v>Sim</v>
      </c>
      <c r="BV40" s="4" t="s">
        <v>3</v>
      </c>
      <c r="BW40" s="4" t="str">
        <f t="shared" si="14"/>
        <v>Sim</v>
      </c>
      <c r="BX40" s="4" t="s">
        <v>3</v>
      </c>
      <c r="BY40" s="4" t="str">
        <f t="shared" si="15"/>
        <v>Sim</v>
      </c>
      <c r="BZ40" s="4" t="s">
        <v>3</v>
      </c>
      <c r="CA40" s="4" t="str">
        <f t="shared" si="16"/>
        <v>Sim</v>
      </c>
    </row>
    <row r="41" spans="2:79">
      <c r="B41" s="45" t="s">
        <v>77</v>
      </c>
      <c r="C41" s="44" t="s">
        <v>117</v>
      </c>
      <c r="D41" s="53" t="s">
        <v>118</v>
      </c>
      <c r="E41" s="6" t="s">
        <v>17</v>
      </c>
      <c r="F41" s="4" t="s">
        <v>17</v>
      </c>
      <c r="G41" s="4" t="s">
        <v>17</v>
      </c>
      <c r="H41" s="4" t="s">
        <v>17</v>
      </c>
      <c r="I41" s="4" t="s">
        <v>17</v>
      </c>
      <c r="J41" s="4" t="s">
        <v>17</v>
      </c>
      <c r="K41" s="4" t="s">
        <v>17</v>
      </c>
      <c r="L41" s="5" t="s">
        <v>17</v>
      </c>
      <c r="M41" s="7"/>
      <c r="N41" s="6" t="s">
        <v>17</v>
      </c>
      <c r="O41" s="4" t="s">
        <v>17</v>
      </c>
      <c r="P41" s="4" t="s">
        <v>17</v>
      </c>
      <c r="Q41" s="4" t="s">
        <v>17</v>
      </c>
      <c r="R41" s="4" t="s">
        <v>17</v>
      </c>
      <c r="S41" s="4" t="s">
        <v>17</v>
      </c>
      <c r="T41" s="4" t="s">
        <v>17</v>
      </c>
      <c r="U41" s="5" t="s">
        <v>17</v>
      </c>
      <c r="V41" s="7"/>
      <c r="W41" s="6" t="s">
        <v>3</v>
      </c>
      <c r="X41" s="4">
        <v>0</v>
      </c>
      <c r="Y41" s="4" t="s">
        <v>3</v>
      </c>
      <c r="Z41" s="4">
        <v>0</v>
      </c>
      <c r="AA41" s="4" t="s">
        <v>5</v>
      </c>
      <c r="AB41" s="4">
        <v>0</v>
      </c>
      <c r="AC41" s="4" t="s">
        <v>5</v>
      </c>
      <c r="AD41" s="5">
        <v>0</v>
      </c>
      <c r="AE41" s="7"/>
      <c r="AF41" s="6" t="s">
        <v>17</v>
      </c>
      <c r="AG41" s="4" t="s">
        <v>17</v>
      </c>
      <c r="AH41" s="4" t="s">
        <v>17</v>
      </c>
      <c r="AI41" s="4" t="s">
        <v>17</v>
      </c>
      <c r="AJ41" s="4" t="s">
        <v>17</v>
      </c>
      <c r="AK41" s="4" t="s">
        <v>17</v>
      </c>
      <c r="AL41" s="4" t="s">
        <v>17</v>
      </c>
      <c r="AM41" s="5" t="s">
        <v>17</v>
      </c>
      <c r="AN41" s="7"/>
      <c r="AO41" s="6" t="s">
        <v>15</v>
      </c>
      <c r="AP41" s="4" t="s">
        <v>15</v>
      </c>
      <c r="AQ41" s="4" t="s">
        <v>13</v>
      </c>
      <c r="AR41" s="5" t="s">
        <v>15</v>
      </c>
      <c r="AT41" s="4" t="s">
        <v>17</v>
      </c>
      <c r="AU41" s="4" t="str">
        <f t="shared" si="0"/>
        <v>N</v>
      </c>
      <c r="AV41" s="4" t="s">
        <v>17</v>
      </c>
      <c r="AW41" s="4" t="str">
        <f t="shared" si="1"/>
        <v>N</v>
      </c>
      <c r="AX41" s="4" t="s">
        <v>17</v>
      </c>
      <c r="AY41" s="4" t="str">
        <f t="shared" si="2"/>
        <v>N</v>
      </c>
      <c r="AZ41" s="4" t="s">
        <v>17</v>
      </c>
      <c r="BA41" s="4" t="str">
        <f t="shared" si="3"/>
        <v>N</v>
      </c>
      <c r="BB41" s="4" t="s">
        <v>17</v>
      </c>
      <c r="BC41" s="4" t="str">
        <f t="shared" si="4"/>
        <v>N</v>
      </c>
      <c r="BD41" s="4" t="s">
        <v>5</v>
      </c>
      <c r="BE41" s="4" t="str">
        <f t="shared" si="5"/>
        <v>Sim</v>
      </c>
      <c r="BF41" s="4" t="s">
        <v>5</v>
      </c>
      <c r="BG41" s="4" t="str">
        <f t="shared" si="6"/>
        <v>Sim</v>
      </c>
      <c r="BH41" s="4" t="s">
        <v>17</v>
      </c>
      <c r="BI41" s="4" t="str">
        <f t="shared" si="7"/>
        <v>N</v>
      </c>
      <c r="BJ41" s="4" t="s">
        <v>5</v>
      </c>
      <c r="BK41" s="4" t="str">
        <f t="shared" si="8"/>
        <v>Sim</v>
      </c>
      <c r="BL41" s="4" t="s">
        <v>5</v>
      </c>
      <c r="BM41" s="4" t="str">
        <f t="shared" si="9"/>
        <v>Sim</v>
      </c>
      <c r="BN41" s="4" t="s">
        <v>17</v>
      </c>
      <c r="BO41" s="4" t="str">
        <f t="shared" si="10"/>
        <v>N</v>
      </c>
      <c r="BP41" s="4" t="s">
        <v>17</v>
      </c>
      <c r="BQ41" s="4" t="str">
        <f t="shared" si="11"/>
        <v>N</v>
      </c>
      <c r="BR41" s="4" t="s">
        <v>17</v>
      </c>
      <c r="BS41" s="4" t="str">
        <f t="shared" si="12"/>
        <v>N</v>
      </c>
      <c r="BT41" s="4" t="s">
        <v>17</v>
      </c>
      <c r="BU41" s="4" t="str">
        <f t="shared" si="13"/>
        <v>N</v>
      </c>
      <c r="BV41" s="4" t="s">
        <v>17</v>
      </c>
      <c r="BW41" s="4" t="str">
        <f t="shared" si="14"/>
        <v>N</v>
      </c>
      <c r="BX41" s="4" t="s">
        <v>17</v>
      </c>
      <c r="BY41" s="4" t="str">
        <f t="shared" si="15"/>
        <v>N</v>
      </c>
      <c r="BZ41" s="4" t="s">
        <v>17</v>
      </c>
      <c r="CA41" s="4" t="str">
        <f t="shared" si="16"/>
        <v>N</v>
      </c>
    </row>
    <row r="42" spans="2:79">
      <c r="B42" s="46" t="s">
        <v>77</v>
      </c>
      <c r="C42" s="13" t="s">
        <v>117</v>
      </c>
      <c r="D42" s="54" t="s">
        <v>119</v>
      </c>
      <c r="E42" s="6" t="s">
        <v>17</v>
      </c>
      <c r="F42" s="4" t="s">
        <v>17</v>
      </c>
      <c r="G42" s="4" t="s">
        <v>17</v>
      </c>
      <c r="H42" s="4" t="s">
        <v>17</v>
      </c>
      <c r="I42" s="4" t="s">
        <v>17</v>
      </c>
      <c r="J42" s="4" t="s">
        <v>17</v>
      </c>
      <c r="K42" s="4" t="s">
        <v>17</v>
      </c>
      <c r="L42" s="5" t="s">
        <v>17</v>
      </c>
      <c r="M42" s="7"/>
      <c r="N42" s="6" t="s">
        <v>17</v>
      </c>
      <c r="O42" s="4" t="s">
        <v>17</v>
      </c>
      <c r="P42" s="4" t="s">
        <v>17</v>
      </c>
      <c r="Q42" s="4" t="s">
        <v>17</v>
      </c>
      <c r="R42" s="4" t="s">
        <v>17</v>
      </c>
      <c r="S42" s="4" t="s">
        <v>17</v>
      </c>
      <c r="T42" s="4" t="s">
        <v>17</v>
      </c>
      <c r="U42" s="5" t="s">
        <v>17</v>
      </c>
      <c r="V42" s="7"/>
      <c r="W42" s="6" t="s">
        <v>3</v>
      </c>
      <c r="X42" s="4">
        <v>0</v>
      </c>
      <c r="Y42" s="4" t="s">
        <v>3</v>
      </c>
      <c r="Z42" s="4">
        <v>1</v>
      </c>
      <c r="AA42" s="4" t="s">
        <v>5</v>
      </c>
      <c r="AB42" s="4">
        <v>1</v>
      </c>
      <c r="AC42" s="4" t="s">
        <v>7</v>
      </c>
      <c r="AD42" s="5">
        <v>1</v>
      </c>
      <c r="AE42" s="7"/>
      <c r="AF42" s="6" t="s">
        <v>17</v>
      </c>
      <c r="AG42" s="4" t="s">
        <v>17</v>
      </c>
      <c r="AH42" s="4" t="s">
        <v>17</v>
      </c>
      <c r="AI42" s="4" t="s">
        <v>17</v>
      </c>
      <c r="AJ42" s="4" t="s">
        <v>17</v>
      </c>
      <c r="AK42" s="4" t="s">
        <v>17</v>
      </c>
      <c r="AL42" s="4" t="s">
        <v>17</v>
      </c>
      <c r="AM42" s="5" t="s">
        <v>17</v>
      </c>
      <c r="AN42" s="7"/>
      <c r="AO42" s="6" t="s">
        <v>15</v>
      </c>
      <c r="AP42" s="4" t="s">
        <v>15</v>
      </c>
      <c r="AQ42" s="4" t="s">
        <v>13</v>
      </c>
      <c r="AR42" s="5" t="s">
        <v>15</v>
      </c>
      <c r="AT42" s="4" t="s">
        <v>17</v>
      </c>
      <c r="AU42" s="4" t="str">
        <f t="shared" si="0"/>
        <v>N</v>
      </c>
      <c r="AV42" s="4" t="s">
        <v>17</v>
      </c>
      <c r="AW42" s="4" t="str">
        <f t="shared" si="1"/>
        <v>N</v>
      </c>
      <c r="AX42" s="4" t="s">
        <v>17</v>
      </c>
      <c r="AY42" s="4" t="str">
        <f t="shared" si="2"/>
        <v>N</v>
      </c>
      <c r="AZ42" s="4" t="s">
        <v>17</v>
      </c>
      <c r="BA42" s="4" t="str">
        <f t="shared" si="3"/>
        <v>N</v>
      </c>
      <c r="BB42" s="4" t="s">
        <v>17</v>
      </c>
      <c r="BC42" s="4" t="str">
        <f t="shared" si="4"/>
        <v>N</v>
      </c>
      <c r="BD42" s="4" t="s">
        <v>7</v>
      </c>
      <c r="BE42" s="4" t="str">
        <f t="shared" si="5"/>
        <v>Sim</v>
      </c>
      <c r="BF42" s="4" t="s">
        <v>3</v>
      </c>
      <c r="BG42" s="4" t="str">
        <f t="shared" si="6"/>
        <v>Sim</v>
      </c>
      <c r="BH42" s="4" t="s">
        <v>17</v>
      </c>
      <c r="BI42" s="4" t="str">
        <f t="shared" si="7"/>
        <v>N</v>
      </c>
      <c r="BJ42" s="4" t="s">
        <v>3</v>
      </c>
      <c r="BK42" s="4" t="str">
        <f t="shared" si="8"/>
        <v>Sim</v>
      </c>
      <c r="BL42" s="4" t="s">
        <v>5</v>
      </c>
      <c r="BM42" s="4" t="str">
        <f t="shared" si="9"/>
        <v>Sim</v>
      </c>
      <c r="BN42" s="4" t="s">
        <v>17</v>
      </c>
      <c r="BO42" s="4" t="str">
        <f t="shared" si="10"/>
        <v>N</v>
      </c>
      <c r="BP42" s="4" t="s">
        <v>17</v>
      </c>
      <c r="BQ42" s="4" t="str">
        <f t="shared" si="11"/>
        <v>N</v>
      </c>
      <c r="BR42" s="4" t="s">
        <v>17</v>
      </c>
      <c r="BS42" s="4" t="str">
        <f t="shared" si="12"/>
        <v>N</v>
      </c>
      <c r="BT42" s="4" t="s">
        <v>17</v>
      </c>
      <c r="BU42" s="4" t="str">
        <f t="shared" si="13"/>
        <v>N</v>
      </c>
      <c r="BV42" s="4" t="s">
        <v>17</v>
      </c>
      <c r="BW42" s="4" t="str">
        <f t="shared" si="14"/>
        <v>N</v>
      </c>
      <c r="BX42" s="4" t="s">
        <v>17</v>
      </c>
      <c r="BY42" s="4" t="str">
        <f t="shared" si="15"/>
        <v>N</v>
      </c>
      <c r="BZ42" s="4" t="s">
        <v>17</v>
      </c>
      <c r="CA42" s="4" t="str">
        <f t="shared" si="16"/>
        <v>N</v>
      </c>
    </row>
    <row r="43" spans="2:79">
      <c r="B43" s="45" t="s">
        <v>77</v>
      </c>
      <c r="C43" s="44" t="s">
        <v>87</v>
      </c>
      <c r="D43" s="53" t="s">
        <v>120</v>
      </c>
      <c r="E43" s="6" t="s">
        <v>3</v>
      </c>
      <c r="F43" s="4">
        <v>0</v>
      </c>
      <c r="G43" s="4" t="s">
        <v>3</v>
      </c>
      <c r="H43" s="4">
        <v>0</v>
      </c>
      <c r="I43" s="4" t="s">
        <v>3</v>
      </c>
      <c r="J43" s="4">
        <v>0</v>
      </c>
      <c r="K43" s="4" t="s">
        <v>5</v>
      </c>
      <c r="L43" s="5">
        <v>1</v>
      </c>
      <c r="M43" s="7"/>
      <c r="N43" s="6" t="s">
        <v>3</v>
      </c>
      <c r="O43" s="4">
        <v>0</v>
      </c>
      <c r="P43" s="4" t="s">
        <v>3</v>
      </c>
      <c r="Q43" s="4">
        <v>0</v>
      </c>
      <c r="R43" s="4" t="s">
        <v>5</v>
      </c>
      <c r="S43" s="4">
        <v>1</v>
      </c>
      <c r="T43" s="4" t="s">
        <v>5</v>
      </c>
      <c r="U43" s="5">
        <v>1</v>
      </c>
      <c r="V43" s="7"/>
      <c r="W43" s="6" t="s">
        <v>3</v>
      </c>
      <c r="X43" s="4">
        <v>0</v>
      </c>
      <c r="Y43" s="4" t="s">
        <v>3</v>
      </c>
      <c r="Z43" s="4">
        <v>0</v>
      </c>
      <c r="AA43" s="4" t="s">
        <v>5</v>
      </c>
      <c r="AB43" s="4">
        <v>1</v>
      </c>
      <c r="AC43" s="4" t="s">
        <v>5</v>
      </c>
      <c r="AD43" s="5">
        <v>1</v>
      </c>
      <c r="AE43" s="7"/>
      <c r="AF43" s="6" t="s">
        <v>3</v>
      </c>
      <c r="AG43" s="4">
        <v>0</v>
      </c>
      <c r="AH43" s="4" t="s">
        <v>3</v>
      </c>
      <c r="AI43" s="4">
        <v>1</v>
      </c>
      <c r="AJ43" s="4" t="s">
        <v>5</v>
      </c>
      <c r="AK43" s="4">
        <v>1</v>
      </c>
      <c r="AL43" s="4" t="s">
        <v>5</v>
      </c>
      <c r="AM43" s="5">
        <v>1</v>
      </c>
      <c r="AN43" s="7"/>
      <c r="AO43" s="6" t="s">
        <v>13</v>
      </c>
      <c r="AP43" s="4" t="s">
        <v>13</v>
      </c>
      <c r="AQ43" s="4" t="s">
        <v>13</v>
      </c>
      <c r="AR43" s="5" t="s">
        <v>13</v>
      </c>
      <c r="AT43" s="4" t="s">
        <v>5</v>
      </c>
      <c r="AU43" s="4" t="str">
        <f t="shared" si="0"/>
        <v>Sim</v>
      </c>
      <c r="AV43" s="4" t="s">
        <v>5</v>
      </c>
      <c r="AW43" s="4" t="str">
        <f t="shared" si="1"/>
        <v>Sim</v>
      </c>
      <c r="AX43" s="4" t="s">
        <v>5</v>
      </c>
      <c r="AY43" s="4" t="str">
        <f t="shared" si="2"/>
        <v>Sim</v>
      </c>
      <c r="AZ43" s="4" t="s">
        <v>5</v>
      </c>
      <c r="BA43" s="4" t="str">
        <f t="shared" si="3"/>
        <v>Sim</v>
      </c>
      <c r="BB43" s="4" t="s">
        <v>5</v>
      </c>
      <c r="BC43" s="4" t="str">
        <f t="shared" si="4"/>
        <v>Sim</v>
      </c>
      <c r="BD43" s="4" t="s">
        <v>5</v>
      </c>
      <c r="BE43" s="4" t="str">
        <f t="shared" si="5"/>
        <v>Sim</v>
      </c>
      <c r="BF43" s="4" t="s">
        <v>3</v>
      </c>
      <c r="BG43" s="4" t="str">
        <f t="shared" si="6"/>
        <v>Sim</v>
      </c>
      <c r="BH43" s="4" t="s">
        <v>5</v>
      </c>
      <c r="BI43" s="4" t="str">
        <f t="shared" si="7"/>
        <v>Sim</v>
      </c>
      <c r="BJ43" s="4" t="s">
        <v>3</v>
      </c>
      <c r="BK43" s="4" t="str">
        <f t="shared" si="8"/>
        <v>Sim</v>
      </c>
      <c r="BL43" s="4" t="s">
        <v>3</v>
      </c>
      <c r="BM43" s="4" t="str">
        <f t="shared" si="9"/>
        <v>Sim</v>
      </c>
      <c r="BN43" s="4" t="s">
        <v>5</v>
      </c>
      <c r="BO43" s="4" t="str">
        <f t="shared" si="10"/>
        <v>Sim</v>
      </c>
      <c r="BP43" s="4" t="s">
        <v>3</v>
      </c>
      <c r="BQ43" s="4" t="str">
        <f t="shared" si="11"/>
        <v>Sim</v>
      </c>
      <c r="BR43" s="4" t="s">
        <v>1</v>
      </c>
      <c r="BS43" s="4" t="str">
        <f t="shared" si="12"/>
        <v>Sim</v>
      </c>
      <c r="BT43" s="4" t="s">
        <v>3</v>
      </c>
      <c r="BU43" s="4" t="str">
        <f t="shared" si="13"/>
        <v>Sim</v>
      </c>
      <c r="BV43" s="4" t="s">
        <v>1</v>
      </c>
      <c r="BW43" s="4" t="str">
        <f t="shared" si="14"/>
        <v>Sim</v>
      </c>
      <c r="BX43" s="4" t="s">
        <v>5</v>
      </c>
      <c r="BY43" s="4" t="str">
        <f t="shared" si="15"/>
        <v>Sim</v>
      </c>
      <c r="BZ43" s="4" t="s">
        <v>5</v>
      </c>
      <c r="CA43" s="4" t="str">
        <f t="shared" si="16"/>
        <v>Sim</v>
      </c>
    </row>
    <row r="44" spans="2:79">
      <c r="B44" s="46" t="s">
        <v>77</v>
      </c>
      <c r="C44" s="13" t="s">
        <v>117</v>
      </c>
      <c r="D44" s="54" t="s">
        <v>121</v>
      </c>
      <c r="E44" s="6" t="s">
        <v>17</v>
      </c>
      <c r="F44" s="4" t="s">
        <v>17</v>
      </c>
      <c r="G44" s="4" t="s">
        <v>17</v>
      </c>
      <c r="H44" s="4" t="s">
        <v>17</v>
      </c>
      <c r="I44" s="4" t="s">
        <v>17</v>
      </c>
      <c r="J44" s="4" t="s">
        <v>17</v>
      </c>
      <c r="K44" s="4" t="s">
        <v>17</v>
      </c>
      <c r="L44" s="5" t="s">
        <v>17</v>
      </c>
      <c r="M44" s="7"/>
      <c r="N44" s="6" t="s">
        <v>17</v>
      </c>
      <c r="O44" s="4" t="s">
        <v>17</v>
      </c>
      <c r="P44" s="4" t="s">
        <v>17</v>
      </c>
      <c r="Q44" s="4" t="s">
        <v>17</v>
      </c>
      <c r="R44" s="4" t="s">
        <v>17</v>
      </c>
      <c r="S44" s="4" t="s">
        <v>17</v>
      </c>
      <c r="T44" s="4" t="s">
        <v>17</v>
      </c>
      <c r="U44" s="5" t="s">
        <v>17</v>
      </c>
      <c r="V44" s="7"/>
      <c r="W44" s="6" t="s">
        <v>3</v>
      </c>
      <c r="X44" s="4">
        <v>0</v>
      </c>
      <c r="Y44" s="4" t="s">
        <v>3</v>
      </c>
      <c r="Z44" s="4">
        <v>0</v>
      </c>
      <c r="AA44" s="4" t="s">
        <v>5</v>
      </c>
      <c r="AB44" s="4">
        <v>0</v>
      </c>
      <c r="AC44" s="4" t="s">
        <v>5</v>
      </c>
      <c r="AD44" s="5">
        <v>1</v>
      </c>
      <c r="AE44" s="7"/>
      <c r="AF44" s="6" t="s">
        <v>17</v>
      </c>
      <c r="AG44" s="4" t="s">
        <v>17</v>
      </c>
      <c r="AH44" s="4" t="s">
        <v>17</v>
      </c>
      <c r="AI44" s="4" t="s">
        <v>17</v>
      </c>
      <c r="AJ44" s="4" t="s">
        <v>17</v>
      </c>
      <c r="AK44" s="4" t="s">
        <v>17</v>
      </c>
      <c r="AL44" s="4" t="s">
        <v>17</v>
      </c>
      <c r="AM44" s="5" t="s">
        <v>17</v>
      </c>
      <c r="AN44" s="7"/>
      <c r="AO44" s="6" t="s">
        <v>15</v>
      </c>
      <c r="AP44" s="4" t="s">
        <v>15</v>
      </c>
      <c r="AQ44" s="4" t="s">
        <v>13</v>
      </c>
      <c r="AR44" s="5" t="s">
        <v>15</v>
      </c>
      <c r="AT44" s="4" t="s">
        <v>17</v>
      </c>
      <c r="AU44" s="4" t="str">
        <f t="shared" si="0"/>
        <v>N</v>
      </c>
      <c r="AV44" s="4" t="s">
        <v>17</v>
      </c>
      <c r="AW44" s="4" t="str">
        <f t="shared" si="1"/>
        <v>N</v>
      </c>
      <c r="AX44" s="4" t="s">
        <v>17</v>
      </c>
      <c r="AY44" s="4" t="str">
        <f t="shared" si="2"/>
        <v>N</v>
      </c>
      <c r="AZ44" s="4" t="s">
        <v>17</v>
      </c>
      <c r="BA44" s="4" t="str">
        <f t="shared" si="3"/>
        <v>N</v>
      </c>
      <c r="BB44" s="4" t="s">
        <v>17</v>
      </c>
      <c r="BC44" s="4" t="str">
        <f t="shared" si="4"/>
        <v>N</v>
      </c>
      <c r="BD44" s="4" t="s">
        <v>5</v>
      </c>
      <c r="BE44" s="4" t="str">
        <f t="shared" si="5"/>
        <v>Sim</v>
      </c>
      <c r="BF44" s="4" t="s">
        <v>1</v>
      </c>
      <c r="BG44" s="4" t="str">
        <f t="shared" si="6"/>
        <v>Sim</v>
      </c>
      <c r="BH44" s="4" t="s">
        <v>17</v>
      </c>
      <c r="BI44" s="4" t="str">
        <f t="shared" si="7"/>
        <v>N</v>
      </c>
      <c r="BJ44" s="4" t="s">
        <v>1</v>
      </c>
      <c r="BK44" s="4" t="str">
        <f t="shared" si="8"/>
        <v>Sim</v>
      </c>
      <c r="BL44" s="4" t="s">
        <v>1</v>
      </c>
      <c r="BM44" s="4" t="str">
        <f t="shared" si="9"/>
        <v>Sim</v>
      </c>
      <c r="BN44" s="4" t="s">
        <v>17</v>
      </c>
      <c r="BO44" s="4" t="str">
        <f t="shared" si="10"/>
        <v>N</v>
      </c>
      <c r="BP44" s="4" t="s">
        <v>17</v>
      </c>
      <c r="BQ44" s="4" t="str">
        <f t="shared" si="11"/>
        <v>N</v>
      </c>
      <c r="BR44" s="4" t="s">
        <v>17</v>
      </c>
      <c r="BS44" s="4" t="str">
        <f t="shared" si="12"/>
        <v>N</v>
      </c>
      <c r="BT44" s="4" t="s">
        <v>17</v>
      </c>
      <c r="BU44" s="4" t="str">
        <f t="shared" si="13"/>
        <v>N</v>
      </c>
      <c r="BV44" s="4" t="s">
        <v>17</v>
      </c>
      <c r="BW44" s="4" t="str">
        <f t="shared" si="14"/>
        <v>N</v>
      </c>
      <c r="BX44" s="4" t="s">
        <v>17</v>
      </c>
      <c r="BY44" s="4" t="str">
        <f t="shared" si="15"/>
        <v>N</v>
      </c>
      <c r="BZ44" s="4" t="s">
        <v>17</v>
      </c>
      <c r="CA44" s="4" t="str">
        <f t="shared" si="16"/>
        <v>N</v>
      </c>
    </row>
    <row r="45" spans="2:79">
      <c r="B45" s="45" t="s">
        <v>77</v>
      </c>
      <c r="C45" s="44" t="s">
        <v>117</v>
      </c>
      <c r="D45" s="53" t="s">
        <v>122</v>
      </c>
      <c r="E45" s="6" t="s">
        <v>17</v>
      </c>
      <c r="F45" s="4" t="s">
        <v>17</v>
      </c>
      <c r="G45" s="4" t="s">
        <v>17</v>
      </c>
      <c r="H45" s="4" t="s">
        <v>17</v>
      </c>
      <c r="I45" s="4" t="s">
        <v>17</v>
      </c>
      <c r="J45" s="4" t="s">
        <v>17</v>
      </c>
      <c r="K45" s="4" t="s">
        <v>17</v>
      </c>
      <c r="L45" s="5" t="s">
        <v>17</v>
      </c>
      <c r="M45" s="7"/>
      <c r="N45" s="6" t="s">
        <v>17</v>
      </c>
      <c r="O45" s="4" t="s">
        <v>17</v>
      </c>
      <c r="P45" s="4" t="s">
        <v>17</v>
      </c>
      <c r="Q45" s="4" t="s">
        <v>17</v>
      </c>
      <c r="R45" s="4" t="s">
        <v>17</v>
      </c>
      <c r="S45" s="4" t="s">
        <v>17</v>
      </c>
      <c r="T45" s="4" t="s">
        <v>17</v>
      </c>
      <c r="U45" s="5" t="s">
        <v>17</v>
      </c>
      <c r="V45" s="7"/>
      <c r="W45" s="6" t="s">
        <v>17</v>
      </c>
      <c r="X45" s="4" t="s">
        <v>17</v>
      </c>
      <c r="Y45" s="4" t="s">
        <v>17</v>
      </c>
      <c r="Z45" s="4" t="s">
        <v>17</v>
      </c>
      <c r="AA45" s="4" t="s">
        <v>3</v>
      </c>
      <c r="AB45" s="4">
        <v>1</v>
      </c>
      <c r="AC45" s="4" t="s">
        <v>5</v>
      </c>
      <c r="AD45" s="5">
        <v>1</v>
      </c>
      <c r="AE45" s="7"/>
      <c r="AF45" s="6" t="s">
        <v>17</v>
      </c>
      <c r="AG45" s="4" t="s">
        <v>17</v>
      </c>
      <c r="AH45" s="4" t="s">
        <v>17</v>
      </c>
      <c r="AI45" s="4" t="s">
        <v>17</v>
      </c>
      <c r="AJ45" s="4" t="s">
        <v>17</v>
      </c>
      <c r="AK45" s="4" t="s">
        <v>17</v>
      </c>
      <c r="AL45" s="4" t="s">
        <v>17</v>
      </c>
      <c r="AM45" s="5" t="s">
        <v>17</v>
      </c>
      <c r="AN45" s="7"/>
      <c r="AO45" s="6" t="s">
        <v>15</v>
      </c>
      <c r="AP45" s="4" t="s">
        <v>15</v>
      </c>
      <c r="AQ45" s="4" t="s">
        <v>13</v>
      </c>
      <c r="AR45" s="5" t="s">
        <v>15</v>
      </c>
      <c r="AT45" s="4" t="s">
        <v>17</v>
      </c>
      <c r="AU45" s="4" t="str">
        <f t="shared" si="0"/>
        <v>N</v>
      </c>
      <c r="AV45" s="4" t="s">
        <v>17</v>
      </c>
      <c r="AW45" s="4" t="str">
        <f t="shared" si="1"/>
        <v>N</v>
      </c>
      <c r="AX45" s="4" t="s">
        <v>17</v>
      </c>
      <c r="AY45" s="4" t="str">
        <f t="shared" si="2"/>
        <v>N</v>
      </c>
      <c r="AZ45" s="4" t="s">
        <v>17</v>
      </c>
      <c r="BA45" s="4" t="str">
        <f t="shared" si="3"/>
        <v>N</v>
      </c>
      <c r="BB45" s="4" t="s">
        <v>17</v>
      </c>
      <c r="BC45" s="4" t="str">
        <f t="shared" si="4"/>
        <v>N</v>
      </c>
      <c r="BD45" s="4" t="s">
        <v>5</v>
      </c>
      <c r="BE45" s="4" t="str">
        <f t="shared" si="5"/>
        <v>Sim</v>
      </c>
      <c r="BF45" s="4" t="s">
        <v>1</v>
      </c>
      <c r="BG45" s="4" t="str">
        <f t="shared" si="6"/>
        <v>N</v>
      </c>
      <c r="BH45" s="4" t="s">
        <v>17</v>
      </c>
      <c r="BI45" s="4" t="str">
        <f t="shared" si="7"/>
        <v>N</v>
      </c>
      <c r="BJ45" s="4" t="s">
        <v>1</v>
      </c>
      <c r="BK45" s="4" t="str">
        <f t="shared" si="8"/>
        <v>N</v>
      </c>
      <c r="BL45" s="4" t="s">
        <v>1</v>
      </c>
      <c r="BM45" s="4" t="str">
        <f t="shared" si="9"/>
        <v>N</v>
      </c>
      <c r="BN45" s="4" t="s">
        <v>17</v>
      </c>
      <c r="BO45" s="4" t="str">
        <f t="shared" si="10"/>
        <v>N</v>
      </c>
      <c r="BP45" s="4" t="s">
        <v>17</v>
      </c>
      <c r="BQ45" s="4" t="str">
        <f t="shared" si="11"/>
        <v>N</v>
      </c>
      <c r="BR45" s="4" t="s">
        <v>17</v>
      </c>
      <c r="BS45" s="4" t="str">
        <f t="shared" si="12"/>
        <v>N</v>
      </c>
      <c r="BT45" s="4" t="s">
        <v>17</v>
      </c>
      <c r="BU45" s="4" t="str">
        <f t="shared" si="13"/>
        <v>N</v>
      </c>
      <c r="BV45" s="4" t="s">
        <v>17</v>
      </c>
      <c r="BW45" s="4" t="str">
        <f t="shared" si="14"/>
        <v>N</v>
      </c>
      <c r="BX45" s="4" t="s">
        <v>17</v>
      </c>
      <c r="BY45" s="4" t="str">
        <f t="shared" si="15"/>
        <v>N</v>
      </c>
      <c r="BZ45" s="4" t="s">
        <v>17</v>
      </c>
      <c r="CA45" s="4" t="str">
        <f t="shared" si="16"/>
        <v>N</v>
      </c>
    </row>
    <row r="46" spans="2:79">
      <c r="B46" s="46" t="s">
        <v>77</v>
      </c>
      <c r="C46" s="13" t="s">
        <v>117</v>
      </c>
      <c r="D46" s="54" t="s">
        <v>123</v>
      </c>
      <c r="E46" s="6" t="s">
        <v>17</v>
      </c>
      <c r="F46" s="4" t="s">
        <v>17</v>
      </c>
      <c r="G46" s="4" t="s">
        <v>17</v>
      </c>
      <c r="H46" s="4" t="s">
        <v>17</v>
      </c>
      <c r="I46" s="4" t="s">
        <v>17</v>
      </c>
      <c r="J46" s="4" t="s">
        <v>17</v>
      </c>
      <c r="K46" s="4" t="s">
        <v>17</v>
      </c>
      <c r="L46" s="5" t="s">
        <v>17</v>
      </c>
      <c r="M46" s="7"/>
      <c r="N46" s="6" t="s">
        <v>17</v>
      </c>
      <c r="O46" s="4" t="s">
        <v>17</v>
      </c>
      <c r="P46" s="4" t="s">
        <v>17</v>
      </c>
      <c r="Q46" s="4" t="s">
        <v>17</v>
      </c>
      <c r="R46" s="4" t="s">
        <v>17</v>
      </c>
      <c r="S46" s="4" t="s">
        <v>17</v>
      </c>
      <c r="T46" s="4" t="s">
        <v>17</v>
      </c>
      <c r="U46" s="5" t="s">
        <v>17</v>
      </c>
      <c r="V46" s="7"/>
      <c r="W46" s="6" t="s">
        <v>17</v>
      </c>
      <c r="X46" s="4" t="s">
        <v>17</v>
      </c>
      <c r="Y46" s="4" t="s">
        <v>17</v>
      </c>
      <c r="Z46" s="4" t="s">
        <v>17</v>
      </c>
      <c r="AA46" s="4" t="s">
        <v>3</v>
      </c>
      <c r="AB46" s="4">
        <v>0</v>
      </c>
      <c r="AC46" s="4" t="s">
        <v>5</v>
      </c>
      <c r="AD46" s="5">
        <v>0</v>
      </c>
      <c r="AE46" s="7"/>
      <c r="AF46" s="6" t="s">
        <v>17</v>
      </c>
      <c r="AG46" s="4" t="s">
        <v>17</v>
      </c>
      <c r="AH46" s="4" t="s">
        <v>17</v>
      </c>
      <c r="AI46" s="4" t="s">
        <v>17</v>
      </c>
      <c r="AJ46" s="4" t="s">
        <v>17</v>
      </c>
      <c r="AK46" s="4" t="s">
        <v>17</v>
      </c>
      <c r="AL46" s="4" t="s">
        <v>17</v>
      </c>
      <c r="AM46" s="5" t="s">
        <v>17</v>
      </c>
      <c r="AN46" s="7"/>
      <c r="AO46" s="6" t="s">
        <v>15</v>
      </c>
      <c r="AP46" s="4" t="s">
        <v>15</v>
      </c>
      <c r="AQ46" s="4" t="s">
        <v>13</v>
      </c>
      <c r="AR46" s="5" t="s">
        <v>15</v>
      </c>
      <c r="AT46" s="4" t="s">
        <v>17</v>
      </c>
      <c r="AU46" s="4" t="str">
        <f t="shared" si="0"/>
        <v>N</v>
      </c>
      <c r="AV46" s="4" t="s">
        <v>17</v>
      </c>
      <c r="AW46" s="4" t="str">
        <f t="shared" si="1"/>
        <v>N</v>
      </c>
      <c r="AX46" s="4" t="s">
        <v>17</v>
      </c>
      <c r="AY46" s="4" t="str">
        <f t="shared" si="2"/>
        <v>N</v>
      </c>
      <c r="AZ46" s="4" t="s">
        <v>17</v>
      </c>
      <c r="BA46" s="4" t="str">
        <f t="shared" si="3"/>
        <v>N</v>
      </c>
      <c r="BB46" s="4" t="s">
        <v>17</v>
      </c>
      <c r="BC46" s="4" t="str">
        <f t="shared" si="4"/>
        <v>N</v>
      </c>
      <c r="BD46" s="4" t="s">
        <v>7</v>
      </c>
      <c r="BE46" s="4" t="str">
        <f t="shared" si="5"/>
        <v>Sim</v>
      </c>
      <c r="BF46" s="4" t="s">
        <v>3</v>
      </c>
      <c r="BG46" s="4" t="str">
        <f t="shared" si="6"/>
        <v>N</v>
      </c>
      <c r="BH46" s="4" t="s">
        <v>17</v>
      </c>
      <c r="BI46" s="4" t="str">
        <f t="shared" si="7"/>
        <v>N</v>
      </c>
      <c r="BJ46" s="4" t="s">
        <v>1</v>
      </c>
      <c r="BK46" s="4" t="str">
        <f t="shared" si="8"/>
        <v>N</v>
      </c>
      <c r="BL46" s="4" t="s">
        <v>5</v>
      </c>
      <c r="BM46" s="4" t="str">
        <f t="shared" si="9"/>
        <v>N</v>
      </c>
      <c r="BN46" s="4" t="s">
        <v>17</v>
      </c>
      <c r="BO46" s="4" t="str">
        <f t="shared" si="10"/>
        <v>N</v>
      </c>
      <c r="BP46" s="4" t="s">
        <v>17</v>
      </c>
      <c r="BQ46" s="4" t="str">
        <f t="shared" si="11"/>
        <v>N</v>
      </c>
      <c r="BR46" s="4" t="s">
        <v>17</v>
      </c>
      <c r="BS46" s="4" t="str">
        <f t="shared" si="12"/>
        <v>N</v>
      </c>
      <c r="BT46" s="4" t="s">
        <v>17</v>
      </c>
      <c r="BU46" s="4" t="str">
        <f t="shared" si="13"/>
        <v>N</v>
      </c>
      <c r="BV46" s="4" t="s">
        <v>17</v>
      </c>
      <c r="BW46" s="4" t="str">
        <f t="shared" si="14"/>
        <v>N</v>
      </c>
      <c r="BX46" s="4" t="s">
        <v>17</v>
      </c>
      <c r="BY46" s="4" t="str">
        <f t="shared" si="15"/>
        <v>N</v>
      </c>
      <c r="BZ46" s="4" t="s">
        <v>17</v>
      </c>
      <c r="CA46" s="4" t="str">
        <f t="shared" si="16"/>
        <v>N</v>
      </c>
    </row>
    <row r="47" spans="2:79">
      <c r="B47" s="45" t="s">
        <v>77</v>
      </c>
      <c r="C47" s="44" t="s">
        <v>117</v>
      </c>
      <c r="D47" s="53" t="s">
        <v>124</v>
      </c>
      <c r="E47" s="6" t="s">
        <v>17</v>
      </c>
      <c r="F47" s="4" t="s">
        <v>17</v>
      </c>
      <c r="G47" s="4" t="s">
        <v>17</v>
      </c>
      <c r="H47" s="4" t="s">
        <v>17</v>
      </c>
      <c r="I47" s="4" t="s">
        <v>17</v>
      </c>
      <c r="J47" s="4" t="s">
        <v>17</v>
      </c>
      <c r="K47" s="4" t="s">
        <v>17</v>
      </c>
      <c r="L47" s="5" t="s">
        <v>17</v>
      </c>
      <c r="M47" s="7"/>
      <c r="N47" s="6" t="s">
        <v>17</v>
      </c>
      <c r="O47" s="4" t="s">
        <v>17</v>
      </c>
      <c r="P47" s="4" t="s">
        <v>17</v>
      </c>
      <c r="Q47" s="4" t="s">
        <v>17</v>
      </c>
      <c r="R47" s="4" t="s">
        <v>17</v>
      </c>
      <c r="S47" s="4" t="s">
        <v>17</v>
      </c>
      <c r="T47" s="4" t="s">
        <v>17</v>
      </c>
      <c r="U47" s="5" t="s">
        <v>17</v>
      </c>
      <c r="V47" s="7"/>
      <c r="W47" s="6" t="s">
        <v>3</v>
      </c>
      <c r="X47" s="4">
        <v>0</v>
      </c>
      <c r="Y47" s="4" t="s">
        <v>3</v>
      </c>
      <c r="Z47" s="4">
        <v>0</v>
      </c>
      <c r="AA47" s="4" t="s">
        <v>5</v>
      </c>
      <c r="AB47" s="4">
        <v>0</v>
      </c>
      <c r="AC47" s="4" t="s">
        <v>7</v>
      </c>
      <c r="AD47" s="5">
        <v>0</v>
      </c>
      <c r="AE47" s="7"/>
      <c r="AF47" s="6" t="s">
        <v>17</v>
      </c>
      <c r="AG47" s="4" t="s">
        <v>17</v>
      </c>
      <c r="AH47" s="4" t="s">
        <v>17</v>
      </c>
      <c r="AI47" s="4" t="s">
        <v>17</v>
      </c>
      <c r="AJ47" s="4" t="s">
        <v>17</v>
      </c>
      <c r="AK47" s="4" t="s">
        <v>17</v>
      </c>
      <c r="AL47" s="4" t="s">
        <v>17</v>
      </c>
      <c r="AM47" s="5" t="s">
        <v>17</v>
      </c>
      <c r="AN47" s="7"/>
      <c r="AO47" s="6" t="s">
        <v>15</v>
      </c>
      <c r="AP47" s="4" t="s">
        <v>15</v>
      </c>
      <c r="AQ47" s="4" t="s">
        <v>13</v>
      </c>
      <c r="AR47" s="5" t="s">
        <v>15</v>
      </c>
      <c r="AT47" s="4" t="s">
        <v>17</v>
      </c>
      <c r="AU47" s="4" t="str">
        <f t="shared" si="0"/>
        <v>N</v>
      </c>
      <c r="AV47" s="4" t="s">
        <v>17</v>
      </c>
      <c r="AW47" s="4" t="str">
        <f t="shared" si="1"/>
        <v>N</v>
      </c>
      <c r="AX47" s="4" t="s">
        <v>17</v>
      </c>
      <c r="AY47" s="4" t="str">
        <f t="shared" si="2"/>
        <v>N</v>
      </c>
      <c r="AZ47" s="4" t="s">
        <v>17</v>
      </c>
      <c r="BA47" s="4" t="str">
        <f t="shared" si="3"/>
        <v>N</v>
      </c>
      <c r="BB47" s="4" t="s">
        <v>17</v>
      </c>
      <c r="BC47" s="4" t="str">
        <f t="shared" si="4"/>
        <v>N</v>
      </c>
      <c r="BD47" s="4" t="s">
        <v>7</v>
      </c>
      <c r="BE47" s="4" t="str">
        <f t="shared" si="5"/>
        <v>Sim</v>
      </c>
      <c r="BF47" s="4" t="s">
        <v>1</v>
      </c>
      <c r="BG47" s="4" t="str">
        <f t="shared" si="6"/>
        <v>Sim</v>
      </c>
      <c r="BH47" s="4" t="s">
        <v>17</v>
      </c>
      <c r="BI47" s="4" t="str">
        <f t="shared" si="7"/>
        <v>N</v>
      </c>
      <c r="BJ47" s="4" t="s">
        <v>1</v>
      </c>
      <c r="BK47" s="4" t="str">
        <f t="shared" si="8"/>
        <v>Sim</v>
      </c>
      <c r="BL47" s="4" t="s">
        <v>1</v>
      </c>
      <c r="BM47" s="4" t="str">
        <f t="shared" si="9"/>
        <v>Sim</v>
      </c>
      <c r="BN47" s="4" t="s">
        <v>17</v>
      </c>
      <c r="BO47" s="4" t="str">
        <f t="shared" si="10"/>
        <v>N</v>
      </c>
      <c r="BP47" s="4" t="s">
        <v>17</v>
      </c>
      <c r="BQ47" s="4" t="str">
        <f t="shared" si="11"/>
        <v>N</v>
      </c>
      <c r="BR47" s="4" t="s">
        <v>17</v>
      </c>
      <c r="BS47" s="4" t="str">
        <f t="shared" si="12"/>
        <v>N</v>
      </c>
      <c r="BT47" s="4" t="s">
        <v>17</v>
      </c>
      <c r="BU47" s="4" t="str">
        <f t="shared" si="13"/>
        <v>N</v>
      </c>
      <c r="BV47" s="4" t="s">
        <v>17</v>
      </c>
      <c r="BW47" s="4" t="str">
        <f t="shared" si="14"/>
        <v>N</v>
      </c>
      <c r="BX47" s="4" t="s">
        <v>17</v>
      </c>
      <c r="BY47" s="4" t="str">
        <f t="shared" si="15"/>
        <v>N</v>
      </c>
      <c r="BZ47" s="4" t="s">
        <v>17</v>
      </c>
      <c r="CA47" s="4" t="str">
        <f t="shared" si="16"/>
        <v>N</v>
      </c>
    </row>
    <row r="48" spans="2:79">
      <c r="B48" s="46" t="s">
        <v>77</v>
      </c>
      <c r="C48" s="13" t="s">
        <v>117</v>
      </c>
      <c r="D48" s="54" t="s">
        <v>125</v>
      </c>
      <c r="E48" s="6" t="s">
        <v>17</v>
      </c>
      <c r="F48" s="4" t="s">
        <v>17</v>
      </c>
      <c r="G48" s="4" t="s">
        <v>17</v>
      </c>
      <c r="H48" s="4" t="s">
        <v>17</v>
      </c>
      <c r="I48" s="4" t="s">
        <v>17</v>
      </c>
      <c r="J48" s="4" t="s">
        <v>17</v>
      </c>
      <c r="K48" s="4" t="s">
        <v>17</v>
      </c>
      <c r="L48" s="5" t="s">
        <v>17</v>
      </c>
      <c r="M48" s="7"/>
      <c r="N48" s="6" t="s">
        <v>17</v>
      </c>
      <c r="O48" s="4" t="s">
        <v>17</v>
      </c>
      <c r="P48" s="4" t="s">
        <v>17</v>
      </c>
      <c r="Q48" s="4" t="s">
        <v>17</v>
      </c>
      <c r="R48" s="4" t="s">
        <v>17</v>
      </c>
      <c r="S48" s="4" t="s">
        <v>17</v>
      </c>
      <c r="T48" s="4" t="s">
        <v>17</v>
      </c>
      <c r="U48" s="5" t="s">
        <v>17</v>
      </c>
      <c r="V48" s="7"/>
      <c r="W48" s="6" t="s">
        <v>3</v>
      </c>
      <c r="X48" s="4">
        <v>0</v>
      </c>
      <c r="Y48" s="4" t="s">
        <v>3</v>
      </c>
      <c r="Z48" s="4">
        <v>0</v>
      </c>
      <c r="AA48" s="4" t="s">
        <v>5</v>
      </c>
      <c r="AB48" s="4">
        <v>0</v>
      </c>
      <c r="AC48" s="4" t="s">
        <v>5</v>
      </c>
      <c r="AD48" s="5">
        <v>0</v>
      </c>
      <c r="AE48" s="7"/>
      <c r="AF48" s="6" t="s">
        <v>17</v>
      </c>
      <c r="AG48" s="4" t="s">
        <v>17</v>
      </c>
      <c r="AH48" s="4" t="s">
        <v>17</v>
      </c>
      <c r="AI48" s="4" t="s">
        <v>17</v>
      </c>
      <c r="AJ48" s="4" t="s">
        <v>17</v>
      </c>
      <c r="AK48" s="4" t="s">
        <v>17</v>
      </c>
      <c r="AL48" s="4" t="s">
        <v>17</v>
      </c>
      <c r="AM48" s="5" t="s">
        <v>17</v>
      </c>
      <c r="AN48" s="7"/>
      <c r="AO48" s="6" t="s">
        <v>15</v>
      </c>
      <c r="AP48" s="4" t="s">
        <v>15</v>
      </c>
      <c r="AQ48" s="4" t="s">
        <v>13</v>
      </c>
      <c r="AR48" s="5" t="s">
        <v>15</v>
      </c>
      <c r="AT48" s="4" t="s">
        <v>17</v>
      </c>
      <c r="AU48" s="4" t="str">
        <f t="shared" si="0"/>
        <v>N</v>
      </c>
      <c r="AV48" s="4" t="s">
        <v>17</v>
      </c>
      <c r="AW48" s="4" t="str">
        <f t="shared" si="1"/>
        <v>N</v>
      </c>
      <c r="AX48" s="4" t="s">
        <v>17</v>
      </c>
      <c r="AY48" s="4" t="str">
        <f t="shared" si="2"/>
        <v>N</v>
      </c>
      <c r="AZ48" s="4" t="s">
        <v>17</v>
      </c>
      <c r="BA48" s="4" t="str">
        <f t="shared" si="3"/>
        <v>N</v>
      </c>
      <c r="BB48" s="4" t="s">
        <v>17</v>
      </c>
      <c r="BC48" s="4" t="str">
        <f t="shared" si="4"/>
        <v>N</v>
      </c>
      <c r="BD48" s="4" t="s">
        <v>7</v>
      </c>
      <c r="BE48" s="4" t="str">
        <f t="shared" si="5"/>
        <v>Sim</v>
      </c>
      <c r="BF48" s="4" t="s">
        <v>3</v>
      </c>
      <c r="BG48" s="4" t="str">
        <f t="shared" si="6"/>
        <v>Sim</v>
      </c>
      <c r="BH48" s="4" t="s">
        <v>17</v>
      </c>
      <c r="BI48" s="4" t="str">
        <f t="shared" si="7"/>
        <v>N</v>
      </c>
      <c r="BJ48" s="4" t="s">
        <v>3</v>
      </c>
      <c r="BK48" s="4" t="str">
        <f t="shared" si="8"/>
        <v>Sim</v>
      </c>
      <c r="BL48" s="4" t="s">
        <v>5</v>
      </c>
      <c r="BM48" s="4" t="str">
        <f t="shared" si="9"/>
        <v>Sim</v>
      </c>
      <c r="BN48" s="4" t="s">
        <v>17</v>
      </c>
      <c r="BO48" s="4" t="str">
        <f t="shared" si="10"/>
        <v>N</v>
      </c>
      <c r="BP48" s="4" t="s">
        <v>17</v>
      </c>
      <c r="BQ48" s="4" t="str">
        <f t="shared" si="11"/>
        <v>N</v>
      </c>
      <c r="BR48" s="4" t="s">
        <v>17</v>
      </c>
      <c r="BS48" s="4" t="str">
        <f t="shared" si="12"/>
        <v>N</v>
      </c>
      <c r="BT48" s="4" t="s">
        <v>17</v>
      </c>
      <c r="BU48" s="4" t="str">
        <f t="shared" si="13"/>
        <v>N</v>
      </c>
      <c r="BV48" s="4" t="s">
        <v>17</v>
      </c>
      <c r="BW48" s="4" t="str">
        <f t="shared" si="14"/>
        <v>N</v>
      </c>
      <c r="BX48" s="4" t="s">
        <v>17</v>
      </c>
      <c r="BY48" s="4" t="str">
        <f t="shared" si="15"/>
        <v>N</v>
      </c>
      <c r="BZ48" s="4" t="s">
        <v>17</v>
      </c>
      <c r="CA48" s="4" t="str">
        <f t="shared" si="16"/>
        <v>N</v>
      </c>
    </row>
    <row r="49" spans="2:79">
      <c r="B49" s="45" t="s">
        <v>77</v>
      </c>
      <c r="C49" s="44" t="s">
        <v>117</v>
      </c>
      <c r="D49" s="53" t="s">
        <v>126</v>
      </c>
      <c r="E49" s="6" t="s">
        <v>17</v>
      </c>
      <c r="F49" s="4" t="s">
        <v>17</v>
      </c>
      <c r="G49" s="4" t="s">
        <v>17</v>
      </c>
      <c r="H49" s="4" t="s">
        <v>17</v>
      </c>
      <c r="I49" s="4" t="s">
        <v>17</v>
      </c>
      <c r="J49" s="4" t="s">
        <v>17</v>
      </c>
      <c r="K49" s="4" t="s">
        <v>17</v>
      </c>
      <c r="L49" s="5" t="s">
        <v>17</v>
      </c>
      <c r="M49" s="7"/>
      <c r="N49" s="6" t="s">
        <v>17</v>
      </c>
      <c r="O49" s="4" t="s">
        <v>17</v>
      </c>
      <c r="P49" s="4" t="s">
        <v>17</v>
      </c>
      <c r="Q49" s="4" t="s">
        <v>17</v>
      </c>
      <c r="R49" s="4" t="s">
        <v>17</v>
      </c>
      <c r="S49" s="4" t="s">
        <v>17</v>
      </c>
      <c r="T49" s="4" t="s">
        <v>17</v>
      </c>
      <c r="U49" s="5" t="s">
        <v>17</v>
      </c>
      <c r="V49" s="7"/>
      <c r="W49" s="6" t="s">
        <v>3</v>
      </c>
      <c r="X49" s="4">
        <v>0</v>
      </c>
      <c r="Y49" s="4" t="s">
        <v>3</v>
      </c>
      <c r="Z49" s="4">
        <v>0</v>
      </c>
      <c r="AA49" s="4" t="s">
        <v>5</v>
      </c>
      <c r="AB49" s="4">
        <v>0</v>
      </c>
      <c r="AC49" s="4" t="s">
        <v>5</v>
      </c>
      <c r="AD49" s="5">
        <v>0</v>
      </c>
      <c r="AE49" s="7"/>
      <c r="AF49" s="6" t="s">
        <v>17</v>
      </c>
      <c r="AG49" s="4" t="s">
        <v>17</v>
      </c>
      <c r="AH49" s="4" t="s">
        <v>17</v>
      </c>
      <c r="AI49" s="4" t="s">
        <v>17</v>
      </c>
      <c r="AJ49" s="4" t="s">
        <v>17</v>
      </c>
      <c r="AK49" s="4" t="s">
        <v>17</v>
      </c>
      <c r="AL49" s="4" t="s">
        <v>17</v>
      </c>
      <c r="AM49" s="5" t="s">
        <v>17</v>
      </c>
      <c r="AN49" s="7"/>
      <c r="AO49" s="6" t="s">
        <v>15</v>
      </c>
      <c r="AP49" s="4" t="s">
        <v>15</v>
      </c>
      <c r="AQ49" s="4" t="s">
        <v>13</v>
      </c>
      <c r="AR49" s="5" t="s">
        <v>15</v>
      </c>
      <c r="AT49" s="4" t="s">
        <v>17</v>
      </c>
      <c r="AU49" s="4" t="str">
        <f t="shared" si="0"/>
        <v>N</v>
      </c>
      <c r="AV49" s="4" t="s">
        <v>17</v>
      </c>
      <c r="AW49" s="4" t="str">
        <f t="shared" si="1"/>
        <v>N</v>
      </c>
      <c r="AX49" s="4" t="s">
        <v>17</v>
      </c>
      <c r="AY49" s="4" t="str">
        <f t="shared" si="2"/>
        <v>N</v>
      </c>
      <c r="AZ49" s="4" t="s">
        <v>17</v>
      </c>
      <c r="BA49" s="4" t="str">
        <f t="shared" si="3"/>
        <v>N</v>
      </c>
      <c r="BB49" s="4" t="s">
        <v>17</v>
      </c>
      <c r="BC49" s="4" t="str">
        <f t="shared" si="4"/>
        <v>N</v>
      </c>
      <c r="BD49" s="4" t="s">
        <v>7</v>
      </c>
      <c r="BE49" s="4" t="str">
        <f t="shared" si="5"/>
        <v>Sim</v>
      </c>
      <c r="BF49" s="4" t="s">
        <v>3</v>
      </c>
      <c r="BG49" s="4" t="str">
        <f t="shared" si="6"/>
        <v>Sim</v>
      </c>
      <c r="BH49" s="4" t="s">
        <v>17</v>
      </c>
      <c r="BI49" s="4" t="str">
        <f t="shared" si="7"/>
        <v>N</v>
      </c>
      <c r="BJ49" s="4" t="s">
        <v>3</v>
      </c>
      <c r="BK49" s="4" t="str">
        <f t="shared" si="8"/>
        <v>Sim</v>
      </c>
      <c r="BL49" s="4" t="s">
        <v>3</v>
      </c>
      <c r="BM49" s="4" t="str">
        <f t="shared" si="9"/>
        <v>Sim</v>
      </c>
      <c r="BN49" s="4" t="s">
        <v>17</v>
      </c>
      <c r="BO49" s="4" t="str">
        <f t="shared" si="10"/>
        <v>N</v>
      </c>
      <c r="BP49" s="4" t="s">
        <v>17</v>
      </c>
      <c r="BQ49" s="4" t="str">
        <f t="shared" si="11"/>
        <v>N</v>
      </c>
      <c r="BR49" s="4" t="s">
        <v>17</v>
      </c>
      <c r="BS49" s="4" t="str">
        <f t="shared" si="12"/>
        <v>N</v>
      </c>
      <c r="BT49" s="4" t="s">
        <v>17</v>
      </c>
      <c r="BU49" s="4" t="str">
        <f t="shared" si="13"/>
        <v>N</v>
      </c>
      <c r="BV49" s="4" t="s">
        <v>17</v>
      </c>
      <c r="BW49" s="4" t="str">
        <f t="shared" si="14"/>
        <v>N</v>
      </c>
      <c r="BX49" s="4" t="s">
        <v>17</v>
      </c>
      <c r="BY49" s="4" t="str">
        <f t="shared" si="15"/>
        <v>N</v>
      </c>
      <c r="BZ49" s="4" t="s">
        <v>17</v>
      </c>
      <c r="CA49" s="4" t="str">
        <f t="shared" si="16"/>
        <v>N</v>
      </c>
    </row>
    <row r="50" spans="2:79">
      <c r="B50" s="46" t="s">
        <v>77</v>
      </c>
      <c r="C50" s="13" t="s">
        <v>117</v>
      </c>
      <c r="D50" s="54" t="s">
        <v>127</v>
      </c>
      <c r="E50" s="6" t="s">
        <v>17</v>
      </c>
      <c r="F50" s="4" t="s">
        <v>17</v>
      </c>
      <c r="G50" s="4" t="s">
        <v>17</v>
      </c>
      <c r="H50" s="4" t="s">
        <v>17</v>
      </c>
      <c r="I50" s="4" t="s">
        <v>17</v>
      </c>
      <c r="J50" s="4" t="s">
        <v>17</v>
      </c>
      <c r="K50" s="4" t="s">
        <v>17</v>
      </c>
      <c r="L50" s="5" t="s">
        <v>17</v>
      </c>
      <c r="M50" s="7"/>
      <c r="N50" s="6" t="s">
        <v>17</v>
      </c>
      <c r="O50" s="4" t="s">
        <v>17</v>
      </c>
      <c r="P50" s="4" t="s">
        <v>17</v>
      </c>
      <c r="Q50" s="4" t="s">
        <v>17</v>
      </c>
      <c r="R50" s="4" t="s">
        <v>17</v>
      </c>
      <c r="S50" s="4" t="s">
        <v>17</v>
      </c>
      <c r="T50" s="4" t="s">
        <v>17</v>
      </c>
      <c r="U50" s="5" t="s">
        <v>17</v>
      </c>
      <c r="V50" s="7"/>
      <c r="W50" s="6" t="s">
        <v>3</v>
      </c>
      <c r="X50" s="4">
        <v>0</v>
      </c>
      <c r="Y50" s="4" t="s">
        <v>3</v>
      </c>
      <c r="Z50" s="4">
        <v>1</v>
      </c>
      <c r="AA50" s="4" t="s">
        <v>5</v>
      </c>
      <c r="AB50" s="4">
        <v>1</v>
      </c>
      <c r="AC50" s="4" t="s">
        <v>7</v>
      </c>
      <c r="AD50" s="5">
        <v>1</v>
      </c>
      <c r="AE50" s="7"/>
      <c r="AF50" s="6" t="s">
        <v>17</v>
      </c>
      <c r="AG50" s="4" t="s">
        <v>17</v>
      </c>
      <c r="AH50" s="4" t="s">
        <v>17</v>
      </c>
      <c r="AI50" s="4" t="s">
        <v>17</v>
      </c>
      <c r="AJ50" s="4" t="s">
        <v>17</v>
      </c>
      <c r="AK50" s="4" t="s">
        <v>17</v>
      </c>
      <c r="AL50" s="4" t="s">
        <v>17</v>
      </c>
      <c r="AM50" s="5" t="s">
        <v>17</v>
      </c>
      <c r="AN50" s="7"/>
      <c r="AO50" s="6" t="s">
        <v>15</v>
      </c>
      <c r="AP50" s="4" t="s">
        <v>15</v>
      </c>
      <c r="AQ50" s="4" t="s">
        <v>13</v>
      </c>
      <c r="AR50" s="5" t="s">
        <v>15</v>
      </c>
      <c r="AT50" s="4" t="s">
        <v>17</v>
      </c>
      <c r="AU50" s="4" t="str">
        <f t="shared" si="0"/>
        <v>N</v>
      </c>
      <c r="AV50" s="4" t="s">
        <v>17</v>
      </c>
      <c r="AW50" s="4" t="str">
        <f t="shared" si="1"/>
        <v>N</v>
      </c>
      <c r="AX50" s="4" t="s">
        <v>17</v>
      </c>
      <c r="AY50" s="4" t="str">
        <f t="shared" si="2"/>
        <v>N</v>
      </c>
      <c r="AZ50" s="4" t="s">
        <v>17</v>
      </c>
      <c r="BA50" s="4" t="str">
        <f t="shared" si="3"/>
        <v>N</v>
      </c>
      <c r="BB50" s="4" t="s">
        <v>17</v>
      </c>
      <c r="BC50" s="4" t="str">
        <f t="shared" si="4"/>
        <v>N</v>
      </c>
      <c r="BD50" s="4" t="s">
        <v>7</v>
      </c>
      <c r="BE50" s="4" t="str">
        <f t="shared" si="5"/>
        <v>Sim</v>
      </c>
      <c r="BF50" s="4" t="s">
        <v>3</v>
      </c>
      <c r="BG50" s="4" t="str">
        <f t="shared" si="6"/>
        <v>Sim</v>
      </c>
      <c r="BH50" s="4" t="s">
        <v>17</v>
      </c>
      <c r="BI50" s="4" t="str">
        <f t="shared" si="7"/>
        <v>N</v>
      </c>
      <c r="BJ50" s="4" t="s">
        <v>3</v>
      </c>
      <c r="BK50" s="4" t="str">
        <f t="shared" si="8"/>
        <v>Sim</v>
      </c>
      <c r="BL50" s="4" t="s">
        <v>3</v>
      </c>
      <c r="BM50" s="4" t="str">
        <f t="shared" si="9"/>
        <v>Sim</v>
      </c>
      <c r="BN50" s="4" t="s">
        <v>17</v>
      </c>
      <c r="BO50" s="4" t="str">
        <f t="shared" si="10"/>
        <v>N</v>
      </c>
      <c r="BP50" s="4" t="s">
        <v>17</v>
      </c>
      <c r="BQ50" s="4" t="str">
        <f t="shared" si="11"/>
        <v>N</v>
      </c>
      <c r="BR50" s="4" t="s">
        <v>17</v>
      </c>
      <c r="BS50" s="4" t="str">
        <f t="shared" si="12"/>
        <v>N</v>
      </c>
      <c r="BT50" s="4" t="s">
        <v>17</v>
      </c>
      <c r="BU50" s="4" t="str">
        <f t="shared" si="13"/>
        <v>N</v>
      </c>
      <c r="BV50" s="4" t="s">
        <v>17</v>
      </c>
      <c r="BW50" s="4" t="str">
        <f t="shared" si="14"/>
        <v>N</v>
      </c>
      <c r="BX50" s="4" t="s">
        <v>17</v>
      </c>
      <c r="BY50" s="4" t="str">
        <f t="shared" si="15"/>
        <v>N</v>
      </c>
      <c r="BZ50" s="4" t="s">
        <v>17</v>
      </c>
      <c r="CA50" s="4" t="str">
        <f t="shared" si="16"/>
        <v>N</v>
      </c>
    </row>
    <row r="51" spans="2:79">
      <c r="B51" s="45" t="s">
        <v>77</v>
      </c>
      <c r="C51" s="44" t="s">
        <v>117</v>
      </c>
      <c r="D51" s="53" t="s">
        <v>128</v>
      </c>
      <c r="E51" s="6" t="s">
        <v>17</v>
      </c>
      <c r="F51" s="4" t="s">
        <v>17</v>
      </c>
      <c r="G51" s="4" t="s">
        <v>17</v>
      </c>
      <c r="H51" s="4" t="s">
        <v>17</v>
      </c>
      <c r="I51" s="4" t="s">
        <v>17</v>
      </c>
      <c r="J51" s="4" t="s">
        <v>17</v>
      </c>
      <c r="K51" s="4" t="s">
        <v>17</v>
      </c>
      <c r="L51" s="5" t="s">
        <v>17</v>
      </c>
      <c r="M51" s="7"/>
      <c r="N51" s="6" t="s">
        <v>17</v>
      </c>
      <c r="O51" s="4" t="s">
        <v>17</v>
      </c>
      <c r="P51" s="4" t="s">
        <v>17</v>
      </c>
      <c r="Q51" s="4" t="s">
        <v>17</v>
      </c>
      <c r="R51" s="4" t="s">
        <v>17</v>
      </c>
      <c r="S51" s="4" t="s">
        <v>17</v>
      </c>
      <c r="T51" s="4" t="s">
        <v>17</v>
      </c>
      <c r="U51" s="5" t="s">
        <v>17</v>
      </c>
      <c r="V51" s="7"/>
      <c r="W51" s="6" t="s">
        <v>3</v>
      </c>
      <c r="X51" s="4">
        <v>0</v>
      </c>
      <c r="Y51" s="4" t="s">
        <v>3</v>
      </c>
      <c r="Z51" s="4">
        <v>1</v>
      </c>
      <c r="AA51" s="4" t="s">
        <v>5</v>
      </c>
      <c r="AB51" s="4">
        <v>1</v>
      </c>
      <c r="AC51" s="4" t="s">
        <v>7</v>
      </c>
      <c r="AD51" s="5">
        <v>1</v>
      </c>
      <c r="AE51" s="7"/>
      <c r="AF51" s="6" t="s">
        <v>17</v>
      </c>
      <c r="AG51" s="4" t="s">
        <v>17</v>
      </c>
      <c r="AH51" s="4" t="s">
        <v>17</v>
      </c>
      <c r="AI51" s="4" t="s">
        <v>17</v>
      </c>
      <c r="AJ51" s="4" t="s">
        <v>17</v>
      </c>
      <c r="AK51" s="4" t="s">
        <v>17</v>
      </c>
      <c r="AL51" s="4" t="s">
        <v>17</v>
      </c>
      <c r="AM51" s="5" t="s">
        <v>17</v>
      </c>
      <c r="AN51" s="7"/>
      <c r="AO51" s="6" t="s">
        <v>15</v>
      </c>
      <c r="AP51" s="4" t="s">
        <v>15</v>
      </c>
      <c r="AQ51" s="4" t="s">
        <v>13</v>
      </c>
      <c r="AR51" s="5" t="s">
        <v>15</v>
      </c>
      <c r="AT51" s="4" t="s">
        <v>17</v>
      </c>
      <c r="AU51" s="4" t="str">
        <f t="shared" si="0"/>
        <v>N</v>
      </c>
      <c r="AV51" s="4" t="s">
        <v>17</v>
      </c>
      <c r="AW51" s="4" t="str">
        <f t="shared" si="1"/>
        <v>N</v>
      </c>
      <c r="AX51" s="4" t="s">
        <v>17</v>
      </c>
      <c r="AY51" s="4" t="str">
        <f t="shared" si="2"/>
        <v>N</v>
      </c>
      <c r="AZ51" s="4" t="s">
        <v>17</v>
      </c>
      <c r="BA51" s="4" t="str">
        <f t="shared" si="3"/>
        <v>N</v>
      </c>
      <c r="BB51" s="4" t="s">
        <v>17</v>
      </c>
      <c r="BC51" s="4" t="str">
        <f t="shared" si="4"/>
        <v>N</v>
      </c>
      <c r="BD51" s="4" t="s">
        <v>7</v>
      </c>
      <c r="BE51" s="4" t="str">
        <f t="shared" si="5"/>
        <v>Sim</v>
      </c>
      <c r="BF51" s="4" t="s">
        <v>3</v>
      </c>
      <c r="BG51" s="4" t="str">
        <f t="shared" si="6"/>
        <v>Sim</v>
      </c>
      <c r="BH51" s="4" t="s">
        <v>17</v>
      </c>
      <c r="BI51" s="4" t="str">
        <f t="shared" si="7"/>
        <v>N</v>
      </c>
      <c r="BJ51" s="4" t="s">
        <v>3</v>
      </c>
      <c r="BK51" s="4" t="str">
        <f t="shared" si="8"/>
        <v>Sim</v>
      </c>
      <c r="BL51" s="4" t="s">
        <v>3</v>
      </c>
      <c r="BM51" s="4" t="str">
        <f t="shared" si="9"/>
        <v>Sim</v>
      </c>
      <c r="BN51" s="4" t="s">
        <v>17</v>
      </c>
      <c r="BO51" s="4" t="str">
        <f t="shared" si="10"/>
        <v>N</v>
      </c>
      <c r="BP51" s="4" t="s">
        <v>17</v>
      </c>
      <c r="BQ51" s="4" t="str">
        <f t="shared" si="11"/>
        <v>N</v>
      </c>
      <c r="BR51" s="4" t="s">
        <v>17</v>
      </c>
      <c r="BS51" s="4" t="str">
        <f t="shared" si="12"/>
        <v>N</v>
      </c>
      <c r="BT51" s="4" t="s">
        <v>17</v>
      </c>
      <c r="BU51" s="4" t="str">
        <f t="shared" si="13"/>
        <v>N</v>
      </c>
      <c r="BV51" s="4" t="s">
        <v>17</v>
      </c>
      <c r="BW51" s="4" t="str">
        <f t="shared" si="14"/>
        <v>N</v>
      </c>
      <c r="BX51" s="4" t="s">
        <v>17</v>
      </c>
      <c r="BY51" s="4" t="str">
        <f t="shared" si="15"/>
        <v>N</v>
      </c>
      <c r="BZ51" s="4" t="s">
        <v>17</v>
      </c>
      <c r="CA51" s="4" t="str">
        <f t="shared" si="16"/>
        <v>N</v>
      </c>
    </row>
    <row r="52" spans="2:79">
      <c r="B52" s="46" t="s">
        <v>77</v>
      </c>
      <c r="C52" s="13" t="s">
        <v>117</v>
      </c>
      <c r="D52" s="54" t="s">
        <v>129</v>
      </c>
      <c r="E52" s="6" t="s">
        <v>17</v>
      </c>
      <c r="F52" s="4" t="s">
        <v>17</v>
      </c>
      <c r="G52" s="4" t="s">
        <v>17</v>
      </c>
      <c r="H52" s="4" t="s">
        <v>17</v>
      </c>
      <c r="I52" s="4" t="s">
        <v>17</v>
      </c>
      <c r="J52" s="4" t="s">
        <v>17</v>
      </c>
      <c r="K52" s="4" t="s">
        <v>17</v>
      </c>
      <c r="L52" s="5" t="s">
        <v>17</v>
      </c>
      <c r="M52" s="7"/>
      <c r="N52" s="6" t="s">
        <v>17</v>
      </c>
      <c r="O52" s="4" t="s">
        <v>17</v>
      </c>
      <c r="P52" s="4" t="s">
        <v>17</v>
      </c>
      <c r="Q52" s="4" t="s">
        <v>17</v>
      </c>
      <c r="R52" s="4" t="s">
        <v>17</v>
      </c>
      <c r="S52" s="4" t="s">
        <v>17</v>
      </c>
      <c r="T52" s="4" t="s">
        <v>17</v>
      </c>
      <c r="U52" s="5" t="s">
        <v>17</v>
      </c>
      <c r="V52" s="7"/>
      <c r="W52" s="6" t="s">
        <v>3</v>
      </c>
      <c r="X52" s="4">
        <v>0</v>
      </c>
      <c r="Y52" s="4" t="s">
        <v>3</v>
      </c>
      <c r="Z52" s="4">
        <v>0</v>
      </c>
      <c r="AA52" s="4" t="s">
        <v>3</v>
      </c>
      <c r="AB52" s="4">
        <v>0</v>
      </c>
      <c r="AC52" s="4" t="s">
        <v>7</v>
      </c>
      <c r="AD52" s="5">
        <v>0</v>
      </c>
      <c r="AE52" s="7"/>
      <c r="AF52" s="6" t="s">
        <v>17</v>
      </c>
      <c r="AG52" s="4" t="s">
        <v>17</v>
      </c>
      <c r="AH52" s="4" t="s">
        <v>17</v>
      </c>
      <c r="AI52" s="4" t="s">
        <v>17</v>
      </c>
      <c r="AJ52" s="4" t="s">
        <v>17</v>
      </c>
      <c r="AK52" s="4" t="s">
        <v>17</v>
      </c>
      <c r="AL52" s="4" t="s">
        <v>17</v>
      </c>
      <c r="AM52" s="5" t="s">
        <v>17</v>
      </c>
      <c r="AN52" s="7"/>
      <c r="AO52" s="6" t="s">
        <v>15</v>
      </c>
      <c r="AP52" s="4" t="s">
        <v>15</v>
      </c>
      <c r="AQ52" s="4" t="s">
        <v>13</v>
      </c>
      <c r="AR52" s="5" t="s">
        <v>15</v>
      </c>
      <c r="AT52" s="4" t="s">
        <v>17</v>
      </c>
      <c r="AU52" s="4" t="str">
        <f t="shared" si="0"/>
        <v>N</v>
      </c>
      <c r="AV52" s="4" t="s">
        <v>17</v>
      </c>
      <c r="AW52" s="4" t="str">
        <f t="shared" si="1"/>
        <v>N</v>
      </c>
      <c r="AX52" s="4" t="s">
        <v>17</v>
      </c>
      <c r="AY52" s="4" t="str">
        <f t="shared" si="2"/>
        <v>N</v>
      </c>
      <c r="AZ52" s="4" t="s">
        <v>17</v>
      </c>
      <c r="BA52" s="4" t="str">
        <f t="shared" si="3"/>
        <v>N</v>
      </c>
      <c r="BB52" s="4" t="s">
        <v>17</v>
      </c>
      <c r="BC52" s="4" t="str">
        <f t="shared" si="4"/>
        <v>N</v>
      </c>
      <c r="BD52" s="4" t="s">
        <v>5</v>
      </c>
      <c r="BE52" s="4" t="str">
        <f t="shared" si="5"/>
        <v>Sim</v>
      </c>
      <c r="BF52" s="4" t="s">
        <v>1</v>
      </c>
      <c r="BG52" s="4" t="str">
        <f t="shared" si="6"/>
        <v>Sim</v>
      </c>
      <c r="BH52" s="4" t="s">
        <v>17</v>
      </c>
      <c r="BI52" s="4" t="str">
        <f t="shared" si="7"/>
        <v>N</v>
      </c>
      <c r="BJ52" s="4" t="s">
        <v>1</v>
      </c>
      <c r="BK52" s="4" t="str">
        <f t="shared" si="8"/>
        <v>Sim</v>
      </c>
      <c r="BL52" s="4" t="s">
        <v>1</v>
      </c>
      <c r="BM52" s="4" t="str">
        <f t="shared" si="9"/>
        <v>Sim</v>
      </c>
      <c r="BN52" s="4" t="s">
        <v>17</v>
      </c>
      <c r="BO52" s="4" t="str">
        <f t="shared" si="10"/>
        <v>N</v>
      </c>
      <c r="BP52" s="4" t="s">
        <v>17</v>
      </c>
      <c r="BQ52" s="4" t="str">
        <f t="shared" si="11"/>
        <v>N</v>
      </c>
      <c r="BR52" s="4" t="s">
        <v>17</v>
      </c>
      <c r="BS52" s="4" t="str">
        <f t="shared" si="12"/>
        <v>N</v>
      </c>
      <c r="BT52" s="4" t="s">
        <v>17</v>
      </c>
      <c r="BU52" s="4" t="str">
        <f t="shared" si="13"/>
        <v>N</v>
      </c>
      <c r="BV52" s="4" t="s">
        <v>17</v>
      </c>
      <c r="BW52" s="4" t="str">
        <f t="shared" si="14"/>
        <v>N</v>
      </c>
      <c r="BX52" s="4" t="s">
        <v>17</v>
      </c>
      <c r="BY52" s="4" t="str">
        <f t="shared" si="15"/>
        <v>N</v>
      </c>
      <c r="BZ52" s="4" t="s">
        <v>17</v>
      </c>
      <c r="CA52" s="4" t="str">
        <f t="shared" si="16"/>
        <v>N</v>
      </c>
    </row>
    <row r="53" spans="2:79">
      <c r="B53" s="45" t="s">
        <v>77</v>
      </c>
      <c r="C53" s="44" t="s">
        <v>117</v>
      </c>
      <c r="D53" s="53" t="s">
        <v>130</v>
      </c>
      <c r="E53" s="6" t="s">
        <v>17</v>
      </c>
      <c r="F53" s="4" t="s">
        <v>17</v>
      </c>
      <c r="G53" s="4" t="s">
        <v>17</v>
      </c>
      <c r="H53" s="4" t="s">
        <v>17</v>
      </c>
      <c r="I53" s="4" t="s">
        <v>17</v>
      </c>
      <c r="J53" s="4" t="s">
        <v>17</v>
      </c>
      <c r="K53" s="4" t="s">
        <v>17</v>
      </c>
      <c r="L53" s="5" t="s">
        <v>17</v>
      </c>
      <c r="M53" s="7"/>
      <c r="N53" s="6" t="s">
        <v>17</v>
      </c>
      <c r="O53" s="4" t="s">
        <v>17</v>
      </c>
      <c r="P53" s="4" t="s">
        <v>17</v>
      </c>
      <c r="Q53" s="4" t="s">
        <v>17</v>
      </c>
      <c r="R53" s="4" t="s">
        <v>17</v>
      </c>
      <c r="S53" s="4" t="s">
        <v>17</v>
      </c>
      <c r="T53" s="4" t="s">
        <v>17</v>
      </c>
      <c r="U53" s="5" t="s">
        <v>17</v>
      </c>
      <c r="V53" s="7"/>
      <c r="W53" s="6" t="s">
        <v>3</v>
      </c>
      <c r="X53" s="4">
        <v>1</v>
      </c>
      <c r="Y53" s="4" t="s">
        <v>5</v>
      </c>
      <c r="Z53" s="4">
        <v>1</v>
      </c>
      <c r="AA53" s="4" t="s">
        <v>5</v>
      </c>
      <c r="AB53" s="4">
        <v>1</v>
      </c>
      <c r="AC53" s="4" t="s">
        <v>7</v>
      </c>
      <c r="AD53" s="5">
        <v>1</v>
      </c>
      <c r="AE53" s="7"/>
      <c r="AF53" s="6" t="s">
        <v>17</v>
      </c>
      <c r="AG53" s="4" t="s">
        <v>17</v>
      </c>
      <c r="AH53" s="4" t="s">
        <v>17</v>
      </c>
      <c r="AI53" s="4" t="s">
        <v>17</v>
      </c>
      <c r="AJ53" s="4" t="s">
        <v>17</v>
      </c>
      <c r="AK53" s="4" t="s">
        <v>17</v>
      </c>
      <c r="AL53" s="4" t="s">
        <v>17</v>
      </c>
      <c r="AM53" s="5" t="s">
        <v>17</v>
      </c>
      <c r="AN53" s="7"/>
      <c r="AO53" s="6" t="s">
        <v>15</v>
      </c>
      <c r="AP53" s="4" t="s">
        <v>15</v>
      </c>
      <c r="AQ53" s="4" t="s">
        <v>13</v>
      </c>
      <c r="AR53" s="5" t="s">
        <v>15</v>
      </c>
      <c r="AT53" s="4" t="s">
        <v>17</v>
      </c>
      <c r="AU53" s="4" t="str">
        <f t="shared" si="0"/>
        <v>N</v>
      </c>
      <c r="AV53" s="4" t="s">
        <v>17</v>
      </c>
      <c r="AW53" s="4" t="str">
        <f t="shared" si="1"/>
        <v>N</v>
      </c>
      <c r="AX53" s="4" t="s">
        <v>17</v>
      </c>
      <c r="AY53" s="4" t="str">
        <f t="shared" si="2"/>
        <v>N</v>
      </c>
      <c r="AZ53" s="4" t="s">
        <v>17</v>
      </c>
      <c r="BA53" s="4" t="str">
        <f t="shared" si="3"/>
        <v>N</v>
      </c>
      <c r="BB53" s="4" t="s">
        <v>17</v>
      </c>
      <c r="BC53" s="4" t="str">
        <f t="shared" si="4"/>
        <v>N</v>
      </c>
      <c r="BD53" s="4" t="s">
        <v>7</v>
      </c>
      <c r="BE53" s="4" t="str">
        <f t="shared" si="5"/>
        <v>Sim</v>
      </c>
      <c r="BF53" s="4" t="s">
        <v>5</v>
      </c>
      <c r="BG53" s="4" t="str">
        <f t="shared" si="6"/>
        <v>Sim</v>
      </c>
      <c r="BH53" s="4" t="s">
        <v>17</v>
      </c>
      <c r="BI53" s="4" t="str">
        <f t="shared" si="7"/>
        <v>N</v>
      </c>
      <c r="BJ53" s="4" t="s">
        <v>5</v>
      </c>
      <c r="BK53" s="4" t="str">
        <f t="shared" si="8"/>
        <v>Sim</v>
      </c>
      <c r="BL53" s="4" t="s">
        <v>5</v>
      </c>
      <c r="BM53" s="4" t="str">
        <f t="shared" si="9"/>
        <v>Sim</v>
      </c>
      <c r="BN53" s="4" t="s">
        <v>17</v>
      </c>
      <c r="BO53" s="4" t="str">
        <f t="shared" si="10"/>
        <v>N</v>
      </c>
      <c r="BP53" s="4" t="s">
        <v>17</v>
      </c>
      <c r="BQ53" s="4" t="str">
        <f t="shared" si="11"/>
        <v>N</v>
      </c>
      <c r="BR53" s="4" t="s">
        <v>17</v>
      </c>
      <c r="BS53" s="4" t="str">
        <f t="shared" si="12"/>
        <v>N</v>
      </c>
      <c r="BT53" s="4" t="s">
        <v>17</v>
      </c>
      <c r="BU53" s="4" t="str">
        <f t="shared" si="13"/>
        <v>N</v>
      </c>
      <c r="BV53" s="4" t="s">
        <v>17</v>
      </c>
      <c r="BW53" s="4" t="str">
        <f t="shared" si="14"/>
        <v>N</v>
      </c>
      <c r="BX53" s="4" t="s">
        <v>17</v>
      </c>
      <c r="BY53" s="4" t="str">
        <f t="shared" si="15"/>
        <v>N</v>
      </c>
      <c r="BZ53" s="4" t="s">
        <v>17</v>
      </c>
      <c r="CA53" s="4" t="str">
        <f t="shared" si="16"/>
        <v>N</v>
      </c>
    </row>
    <row r="54" spans="2:79">
      <c r="B54" s="46" t="s">
        <v>77</v>
      </c>
      <c r="C54" s="13" t="s">
        <v>117</v>
      </c>
      <c r="D54" s="54" t="s">
        <v>131</v>
      </c>
      <c r="E54" s="6" t="s">
        <v>17</v>
      </c>
      <c r="F54" s="4" t="s">
        <v>17</v>
      </c>
      <c r="G54" s="4" t="s">
        <v>17</v>
      </c>
      <c r="H54" s="4" t="s">
        <v>17</v>
      </c>
      <c r="I54" s="4" t="s">
        <v>17</v>
      </c>
      <c r="J54" s="4" t="s">
        <v>17</v>
      </c>
      <c r="K54" s="4" t="s">
        <v>17</v>
      </c>
      <c r="L54" s="5" t="s">
        <v>17</v>
      </c>
      <c r="M54" s="7"/>
      <c r="N54" s="6" t="s">
        <v>17</v>
      </c>
      <c r="O54" s="4" t="s">
        <v>17</v>
      </c>
      <c r="P54" s="4" t="s">
        <v>17</v>
      </c>
      <c r="Q54" s="4" t="s">
        <v>17</v>
      </c>
      <c r="R54" s="4" t="s">
        <v>17</v>
      </c>
      <c r="S54" s="4" t="s">
        <v>17</v>
      </c>
      <c r="T54" s="4" t="s">
        <v>17</v>
      </c>
      <c r="U54" s="5" t="s">
        <v>17</v>
      </c>
      <c r="V54" s="7"/>
      <c r="W54" s="6" t="s">
        <v>3</v>
      </c>
      <c r="X54" s="4">
        <v>0</v>
      </c>
      <c r="Y54" s="4" t="s">
        <v>3</v>
      </c>
      <c r="Z54" s="4">
        <v>1</v>
      </c>
      <c r="AA54" s="4" t="s">
        <v>5</v>
      </c>
      <c r="AB54" s="4">
        <v>1</v>
      </c>
      <c r="AC54" s="4" t="s">
        <v>7</v>
      </c>
      <c r="AD54" s="5">
        <v>1</v>
      </c>
      <c r="AE54" s="7"/>
      <c r="AF54" s="6" t="s">
        <v>17</v>
      </c>
      <c r="AG54" s="4" t="s">
        <v>17</v>
      </c>
      <c r="AH54" s="4" t="s">
        <v>17</v>
      </c>
      <c r="AI54" s="4" t="s">
        <v>17</v>
      </c>
      <c r="AJ54" s="4" t="s">
        <v>17</v>
      </c>
      <c r="AK54" s="4" t="s">
        <v>17</v>
      </c>
      <c r="AL54" s="4" t="s">
        <v>17</v>
      </c>
      <c r="AM54" s="5" t="s">
        <v>17</v>
      </c>
      <c r="AN54" s="7"/>
      <c r="AO54" s="6" t="s">
        <v>15</v>
      </c>
      <c r="AP54" s="4" t="s">
        <v>15</v>
      </c>
      <c r="AQ54" s="4" t="s">
        <v>13</v>
      </c>
      <c r="AR54" s="5" t="s">
        <v>15</v>
      </c>
      <c r="AT54" s="4" t="s">
        <v>17</v>
      </c>
      <c r="AU54" s="4" t="str">
        <f t="shared" si="0"/>
        <v>N</v>
      </c>
      <c r="AV54" s="4" t="s">
        <v>17</v>
      </c>
      <c r="AW54" s="4" t="str">
        <f t="shared" si="1"/>
        <v>N</v>
      </c>
      <c r="AX54" s="4" t="s">
        <v>17</v>
      </c>
      <c r="AY54" s="4" t="str">
        <f t="shared" si="2"/>
        <v>N</v>
      </c>
      <c r="AZ54" s="4" t="s">
        <v>17</v>
      </c>
      <c r="BA54" s="4" t="str">
        <f t="shared" si="3"/>
        <v>N</v>
      </c>
      <c r="BB54" s="4" t="s">
        <v>17</v>
      </c>
      <c r="BC54" s="4" t="str">
        <f t="shared" si="4"/>
        <v>N</v>
      </c>
      <c r="BD54" s="4" t="s">
        <v>7</v>
      </c>
      <c r="BE54" s="4" t="str">
        <f t="shared" si="5"/>
        <v>Sim</v>
      </c>
      <c r="BF54" s="4" t="s">
        <v>3</v>
      </c>
      <c r="BG54" s="4" t="str">
        <f t="shared" si="6"/>
        <v>Sim</v>
      </c>
      <c r="BH54" s="4" t="s">
        <v>17</v>
      </c>
      <c r="BI54" s="4" t="str">
        <f t="shared" si="7"/>
        <v>N</v>
      </c>
      <c r="BJ54" s="4" t="s">
        <v>3</v>
      </c>
      <c r="BK54" s="4" t="str">
        <f t="shared" si="8"/>
        <v>Sim</v>
      </c>
      <c r="BL54" s="4" t="s">
        <v>3</v>
      </c>
      <c r="BM54" s="4" t="str">
        <f t="shared" si="9"/>
        <v>Sim</v>
      </c>
      <c r="BN54" s="4" t="s">
        <v>17</v>
      </c>
      <c r="BO54" s="4" t="str">
        <f t="shared" si="10"/>
        <v>N</v>
      </c>
      <c r="BP54" s="4" t="s">
        <v>17</v>
      </c>
      <c r="BQ54" s="4" t="str">
        <f t="shared" si="11"/>
        <v>N</v>
      </c>
      <c r="BR54" s="4" t="s">
        <v>17</v>
      </c>
      <c r="BS54" s="4" t="str">
        <f t="shared" si="12"/>
        <v>N</v>
      </c>
      <c r="BT54" s="4" t="s">
        <v>17</v>
      </c>
      <c r="BU54" s="4" t="str">
        <f t="shared" si="13"/>
        <v>N</v>
      </c>
      <c r="BV54" s="4" t="s">
        <v>17</v>
      </c>
      <c r="BW54" s="4" t="str">
        <f t="shared" si="14"/>
        <v>N</v>
      </c>
      <c r="BX54" s="4" t="s">
        <v>17</v>
      </c>
      <c r="BY54" s="4" t="str">
        <f t="shared" si="15"/>
        <v>N</v>
      </c>
      <c r="BZ54" s="4" t="s">
        <v>17</v>
      </c>
      <c r="CA54" s="4" t="str">
        <f t="shared" si="16"/>
        <v>N</v>
      </c>
    </row>
    <row r="55" spans="2:79">
      <c r="B55" s="45" t="s">
        <v>77</v>
      </c>
      <c r="C55" s="44" t="s">
        <v>57</v>
      </c>
      <c r="D55" s="53" t="s">
        <v>132</v>
      </c>
      <c r="E55" s="6" t="s">
        <v>17</v>
      </c>
      <c r="F55" s="4" t="s">
        <v>17</v>
      </c>
      <c r="G55" s="4" t="s">
        <v>17</v>
      </c>
      <c r="H55" s="4" t="s">
        <v>17</v>
      </c>
      <c r="I55" s="4" t="s">
        <v>17</v>
      </c>
      <c r="J55" s="4" t="s">
        <v>17</v>
      </c>
      <c r="K55" s="4" t="s">
        <v>17</v>
      </c>
      <c r="L55" s="5" t="s">
        <v>17</v>
      </c>
      <c r="M55" s="7"/>
      <c r="N55" s="6" t="s">
        <v>17</v>
      </c>
      <c r="O55" s="4" t="s">
        <v>17</v>
      </c>
      <c r="P55" s="4" t="s">
        <v>17</v>
      </c>
      <c r="Q55" s="4" t="s">
        <v>17</v>
      </c>
      <c r="R55" s="4" t="s">
        <v>17</v>
      </c>
      <c r="S55" s="4" t="s">
        <v>17</v>
      </c>
      <c r="T55" s="4" t="s">
        <v>17</v>
      </c>
      <c r="U55" s="5" t="s">
        <v>17</v>
      </c>
      <c r="V55" s="7"/>
      <c r="W55" s="6" t="s">
        <v>17</v>
      </c>
      <c r="X55" s="4" t="s">
        <v>17</v>
      </c>
      <c r="Y55" s="4" t="s">
        <v>17</v>
      </c>
      <c r="Z55" s="4" t="s">
        <v>17</v>
      </c>
      <c r="AA55" s="4" t="s">
        <v>17</v>
      </c>
      <c r="AB55" s="4" t="s">
        <v>17</v>
      </c>
      <c r="AC55" s="4" t="s">
        <v>17</v>
      </c>
      <c r="AD55" s="5" t="s">
        <v>17</v>
      </c>
      <c r="AE55" s="7"/>
      <c r="AF55" s="6" t="s">
        <v>17</v>
      </c>
      <c r="AG55" s="4" t="s">
        <v>17</v>
      </c>
      <c r="AH55" s="4" t="s">
        <v>17</v>
      </c>
      <c r="AI55" s="4" t="s">
        <v>17</v>
      </c>
      <c r="AJ55" s="4" t="s">
        <v>3</v>
      </c>
      <c r="AK55" s="4">
        <v>0</v>
      </c>
      <c r="AL55" s="4" t="s">
        <v>3</v>
      </c>
      <c r="AM55" s="5">
        <v>0</v>
      </c>
      <c r="AN55" s="7"/>
      <c r="AO55" s="6" t="s">
        <v>15</v>
      </c>
      <c r="AP55" s="4" t="s">
        <v>15</v>
      </c>
      <c r="AQ55" s="4" t="s">
        <v>15</v>
      </c>
      <c r="AR55" s="5" t="s">
        <v>13</v>
      </c>
      <c r="AT55" s="4" t="s">
        <v>17</v>
      </c>
      <c r="AU55" s="4" t="str">
        <f t="shared" si="0"/>
        <v>N</v>
      </c>
      <c r="AV55" s="4" t="s">
        <v>17</v>
      </c>
      <c r="AW55" s="4" t="str">
        <f t="shared" si="1"/>
        <v>N</v>
      </c>
      <c r="AX55" s="4" t="s">
        <v>17</v>
      </c>
      <c r="AY55" s="4" t="str">
        <f t="shared" si="2"/>
        <v>N</v>
      </c>
      <c r="AZ55" s="4" t="s">
        <v>17</v>
      </c>
      <c r="BA55" s="4" t="str">
        <f t="shared" si="3"/>
        <v>N</v>
      </c>
      <c r="BB55" s="4" t="s">
        <v>5</v>
      </c>
      <c r="BC55" s="4" t="str">
        <f t="shared" si="4"/>
        <v>Sim</v>
      </c>
      <c r="BD55" s="4" t="s">
        <v>17</v>
      </c>
      <c r="BE55" s="4" t="str">
        <f t="shared" si="5"/>
        <v>N</v>
      </c>
      <c r="BF55" s="4" t="s">
        <v>17</v>
      </c>
      <c r="BG55" s="4" t="str">
        <f t="shared" si="6"/>
        <v>N</v>
      </c>
      <c r="BH55" s="4" t="s">
        <v>17</v>
      </c>
      <c r="BI55" s="4" t="str">
        <f t="shared" si="7"/>
        <v>N</v>
      </c>
      <c r="BJ55" s="4" t="s">
        <v>17</v>
      </c>
      <c r="BK55" s="4" t="str">
        <f t="shared" si="8"/>
        <v>N</v>
      </c>
      <c r="BL55" s="4" t="s">
        <v>17</v>
      </c>
      <c r="BM55" s="4" t="str">
        <f t="shared" si="9"/>
        <v>N</v>
      </c>
      <c r="BN55" s="4" t="s">
        <v>5</v>
      </c>
      <c r="BO55" s="4" t="str">
        <f t="shared" si="10"/>
        <v>Sim</v>
      </c>
      <c r="BP55" s="4" t="s">
        <v>17</v>
      </c>
      <c r="BQ55" s="4" t="str">
        <f t="shared" si="11"/>
        <v>N</v>
      </c>
      <c r="BR55" s="4" t="s">
        <v>17</v>
      </c>
      <c r="BS55" s="4" t="str">
        <f t="shared" si="12"/>
        <v>N</v>
      </c>
      <c r="BT55" s="4" t="s">
        <v>17</v>
      </c>
      <c r="BU55" s="4" t="str">
        <f t="shared" si="13"/>
        <v>N</v>
      </c>
      <c r="BV55" s="4" t="s">
        <v>17</v>
      </c>
      <c r="BW55" s="4" t="str">
        <f t="shared" si="14"/>
        <v>N</v>
      </c>
      <c r="BX55" s="4" t="s">
        <v>17</v>
      </c>
      <c r="BY55" s="4" t="str">
        <f t="shared" si="15"/>
        <v>N</v>
      </c>
      <c r="BZ55" s="4" t="s">
        <v>17</v>
      </c>
      <c r="CA55" s="4" t="str">
        <f t="shared" si="16"/>
        <v>N</v>
      </c>
    </row>
    <row r="56" spans="2:79">
      <c r="B56" s="46" t="s">
        <v>77</v>
      </c>
      <c r="C56" s="13" t="s">
        <v>57</v>
      </c>
      <c r="D56" s="54" t="s">
        <v>133</v>
      </c>
      <c r="E56" s="6" t="s">
        <v>17</v>
      </c>
      <c r="F56" s="4" t="s">
        <v>17</v>
      </c>
      <c r="G56" s="4" t="s">
        <v>17</v>
      </c>
      <c r="H56" s="4" t="s">
        <v>17</v>
      </c>
      <c r="I56" s="4" t="s">
        <v>17</v>
      </c>
      <c r="J56" s="4" t="s">
        <v>17</v>
      </c>
      <c r="K56" s="4" t="s">
        <v>17</v>
      </c>
      <c r="L56" s="5" t="s">
        <v>17</v>
      </c>
      <c r="M56" s="7"/>
      <c r="N56" s="6" t="s">
        <v>17</v>
      </c>
      <c r="O56" s="4" t="s">
        <v>17</v>
      </c>
      <c r="P56" s="4" t="s">
        <v>17</v>
      </c>
      <c r="Q56" s="4" t="s">
        <v>17</v>
      </c>
      <c r="R56" s="4" t="s">
        <v>17</v>
      </c>
      <c r="S56" s="4" t="s">
        <v>17</v>
      </c>
      <c r="T56" s="4" t="s">
        <v>17</v>
      </c>
      <c r="U56" s="5" t="s">
        <v>17</v>
      </c>
      <c r="V56" s="7"/>
      <c r="W56" s="6" t="s">
        <v>17</v>
      </c>
      <c r="X56" s="4" t="s">
        <v>17</v>
      </c>
      <c r="Y56" s="4" t="s">
        <v>17</v>
      </c>
      <c r="Z56" s="4" t="s">
        <v>17</v>
      </c>
      <c r="AA56" s="4" t="s">
        <v>17</v>
      </c>
      <c r="AB56" s="4" t="s">
        <v>17</v>
      </c>
      <c r="AC56" s="4" t="s">
        <v>17</v>
      </c>
      <c r="AD56" s="5" t="s">
        <v>17</v>
      </c>
      <c r="AE56" s="7"/>
      <c r="AF56" s="6" t="s">
        <v>3</v>
      </c>
      <c r="AG56" s="4">
        <v>0</v>
      </c>
      <c r="AH56" s="4" t="s">
        <v>3</v>
      </c>
      <c r="AI56" s="4">
        <v>0</v>
      </c>
      <c r="AJ56" s="4" t="s">
        <v>5</v>
      </c>
      <c r="AK56" s="4">
        <v>0</v>
      </c>
      <c r="AL56" s="4" t="s">
        <v>5</v>
      </c>
      <c r="AM56" s="5">
        <v>1</v>
      </c>
      <c r="AN56" s="7"/>
      <c r="AO56" s="6" t="s">
        <v>15</v>
      </c>
      <c r="AP56" s="4" t="s">
        <v>15</v>
      </c>
      <c r="AQ56" s="4" t="s">
        <v>15</v>
      </c>
      <c r="AR56" s="5" t="s">
        <v>13</v>
      </c>
      <c r="AT56" s="4" t="s">
        <v>17</v>
      </c>
      <c r="AU56" s="4" t="str">
        <f t="shared" si="0"/>
        <v>N</v>
      </c>
      <c r="AV56" s="4" t="s">
        <v>17</v>
      </c>
      <c r="AW56" s="4" t="str">
        <f t="shared" si="1"/>
        <v>N</v>
      </c>
      <c r="AX56" s="4" t="s">
        <v>17</v>
      </c>
      <c r="AY56" s="4" t="str">
        <f t="shared" si="2"/>
        <v>N</v>
      </c>
      <c r="AZ56" s="4" t="s">
        <v>17</v>
      </c>
      <c r="BA56" s="4" t="str">
        <f t="shared" si="3"/>
        <v>N</v>
      </c>
      <c r="BB56" s="4" t="s">
        <v>5</v>
      </c>
      <c r="BC56" s="4" t="str">
        <f t="shared" si="4"/>
        <v>Sim</v>
      </c>
      <c r="BD56" s="4" t="s">
        <v>17</v>
      </c>
      <c r="BE56" s="4" t="str">
        <f t="shared" si="5"/>
        <v>N</v>
      </c>
      <c r="BF56" s="4" t="s">
        <v>17</v>
      </c>
      <c r="BG56" s="4" t="str">
        <f t="shared" si="6"/>
        <v>N</v>
      </c>
      <c r="BH56" s="4" t="s">
        <v>17</v>
      </c>
      <c r="BI56" s="4" t="str">
        <f t="shared" si="7"/>
        <v>N</v>
      </c>
      <c r="BJ56" s="4" t="s">
        <v>17</v>
      </c>
      <c r="BK56" s="4" t="str">
        <f t="shared" si="8"/>
        <v>N</v>
      </c>
      <c r="BL56" s="4" t="s">
        <v>17</v>
      </c>
      <c r="BM56" s="4" t="str">
        <f t="shared" si="9"/>
        <v>N</v>
      </c>
      <c r="BN56" s="4" t="s">
        <v>3</v>
      </c>
      <c r="BO56" s="4" t="str">
        <f t="shared" si="10"/>
        <v>Sim</v>
      </c>
      <c r="BP56" s="4" t="s">
        <v>17</v>
      </c>
      <c r="BQ56" s="4" t="str">
        <f t="shared" si="11"/>
        <v>N</v>
      </c>
      <c r="BR56" s="4" t="s">
        <v>17</v>
      </c>
      <c r="BS56" s="4" t="str">
        <f t="shared" si="12"/>
        <v>N</v>
      </c>
      <c r="BT56" s="4" t="s">
        <v>17</v>
      </c>
      <c r="BU56" s="4" t="str">
        <f t="shared" si="13"/>
        <v>N</v>
      </c>
      <c r="BV56" s="4" t="s">
        <v>17</v>
      </c>
      <c r="BW56" s="4" t="str">
        <f t="shared" si="14"/>
        <v>N</v>
      </c>
      <c r="BX56" s="4" t="s">
        <v>17</v>
      </c>
      <c r="BY56" s="4" t="str">
        <f t="shared" si="15"/>
        <v>N</v>
      </c>
      <c r="BZ56" s="4" t="s">
        <v>17</v>
      </c>
      <c r="CA56" s="4" t="str">
        <f t="shared" si="16"/>
        <v>N</v>
      </c>
    </row>
    <row r="57" spans="2:79">
      <c r="B57" s="45" t="s">
        <v>77</v>
      </c>
      <c r="C57" s="44" t="s">
        <v>57</v>
      </c>
      <c r="D57" s="53" t="s">
        <v>134</v>
      </c>
      <c r="E57" s="6" t="s">
        <v>17</v>
      </c>
      <c r="F57" s="4" t="s">
        <v>17</v>
      </c>
      <c r="G57" s="4" t="s">
        <v>17</v>
      </c>
      <c r="H57" s="4" t="s">
        <v>17</v>
      </c>
      <c r="I57" s="4" t="s">
        <v>17</v>
      </c>
      <c r="J57" s="4" t="s">
        <v>17</v>
      </c>
      <c r="K57" s="4" t="s">
        <v>17</v>
      </c>
      <c r="L57" s="5" t="s">
        <v>17</v>
      </c>
      <c r="M57" s="7"/>
      <c r="N57" s="6" t="s">
        <v>17</v>
      </c>
      <c r="O57" s="4" t="s">
        <v>17</v>
      </c>
      <c r="P57" s="4" t="s">
        <v>17</v>
      </c>
      <c r="Q57" s="4" t="s">
        <v>17</v>
      </c>
      <c r="R57" s="4" t="s">
        <v>17</v>
      </c>
      <c r="S57" s="4" t="s">
        <v>17</v>
      </c>
      <c r="T57" s="4" t="s">
        <v>17</v>
      </c>
      <c r="U57" s="5" t="s">
        <v>17</v>
      </c>
      <c r="V57" s="7"/>
      <c r="W57" s="6" t="s">
        <v>17</v>
      </c>
      <c r="X57" s="4" t="s">
        <v>17</v>
      </c>
      <c r="Y57" s="4" t="s">
        <v>17</v>
      </c>
      <c r="Z57" s="4" t="s">
        <v>17</v>
      </c>
      <c r="AA57" s="4" t="s">
        <v>17</v>
      </c>
      <c r="AB57" s="4" t="s">
        <v>17</v>
      </c>
      <c r="AC57" s="4" t="s">
        <v>17</v>
      </c>
      <c r="AD57" s="5" t="s">
        <v>17</v>
      </c>
      <c r="AE57" s="7"/>
      <c r="AF57" s="6" t="s">
        <v>17</v>
      </c>
      <c r="AG57" s="4" t="s">
        <v>17</v>
      </c>
      <c r="AH57" s="4" t="s">
        <v>17</v>
      </c>
      <c r="AI57" s="4" t="s">
        <v>17</v>
      </c>
      <c r="AJ57" s="4" t="s">
        <v>3</v>
      </c>
      <c r="AK57" s="4">
        <v>0</v>
      </c>
      <c r="AL57" s="4" t="s">
        <v>3</v>
      </c>
      <c r="AM57" s="5">
        <v>1</v>
      </c>
      <c r="AN57" s="7"/>
      <c r="AO57" s="6" t="s">
        <v>15</v>
      </c>
      <c r="AP57" s="4" t="s">
        <v>15</v>
      </c>
      <c r="AQ57" s="4" t="s">
        <v>15</v>
      </c>
      <c r="AR57" s="5" t="s">
        <v>13</v>
      </c>
      <c r="AT57" s="4" t="s">
        <v>17</v>
      </c>
      <c r="AU57" s="4" t="str">
        <f t="shared" si="0"/>
        <v>N</v>
      </c>
      <c r="AV57" s="4" t="s">
        <v>17</v>
      </c>
      <c r="AW57" s="4" t="str">
        <f t="shared" si="1"/>
        <v>N</v>
      </c>
      <c r="AX57" s="4" t="s">
        <v>17</v>
      </c>
      <c r="AY57" s="4" t="str">
        <f t="shared" si="2"/>
        <v>N</v>
      </c>
      <c r="AZ57" s="4" t="s">
        <v>17</v>
      </c>
      <c r="BA57" s="4" t="str">
        <f t="shared" si="3"/>
        <v>N</v>
      </c>
      <c r="BB57" s="4" t="s">
        <v>5</v>
      </c>
      <c r="BC57" s="4" t="str">
        <f t="shared" si="4"/>
        <v>Sim</v>
      </c>
      <c r="BD57" s="4" t="s">
        <v>17</v>
      </c>
      <c r="BE57" s="4" t="str">
        <f t="shared" si="5"/>
        <v>N</v>
      </c>
      <c r="BF57" s="4" t="s">
        <v>17</v>
      </c>
      <c r="BG57" s="4" t="str">
        <f t="shared" si="6"/>
        <v>N</v>
      </c>
      <c r="BH57" s="4" t="s">
        <v>17</v>
      </c>
      <c r="BI57" s="4" t="str">
        <f t="shared" si="7"/>
        <v>N</v>
      </c>
      <c r="BJ57" s="4" t="s">
        <v>17</v>
      </c>
      <c r="BK57" s="4" t="str">
        <f t="shared" si="8"/>
        <v>N</v>
      </c>
      <c r="BL57" s="4" t="s">
        <v>17</v>
      </c>
      <c r="BM57" s="4" t="str">
        <f t="shared" si="9"/>
        <v>N</v>
      </c>
      <c r="BN57" s="4" t="s">
        <v>1</v>
      </c>
      <c r="BO57" s="4" t="str">
        <f t="shared" si="10"/>
        <v>Sim</v>
      </c>
      <c r="BP57" s="4" t="s">
        <v>17</v>
      </c>
      <c r="BQ57" s="4" t="str">
        <f t="shared" si="11"/>
        <v>N</v>
      </c>
      <c r="BR57" s="4" t="s">
        <v>17</v>
      </c>
      <c r="BS57" s="4" t="str">
        <f t="shared" si="12"/>
        <v>N</v>
      </c>
      <c r="BT57" s="4" t="s">
        <v>17</v>
      </c>
      <c r="BU57" s="4" t="str">
        <f t="shared" si="13"/>
        <v>N</v>
      </c>
      <c r="BV57" s="4" t="s">
        <v>17</v>
      </c>
      <c r="BW57" s="4" t="str">
        <f t="shared" si="14"/>
        <v>N</v>
      </c>
      <c r="BX57" s="4" t="s">
        <v>17</v>
      </c>
      <c r="BY57" s="4" t="str">
        <f t="shared" si="15"/>
        <v>N</v>
      </c>
      <c r="BZ57" s="4" t="s">
        <v>17</v>
      </c>
      <c r="CA57" s="4" t="str">
        <f t="shared" si="16"/>
        <v>N</v>
      </c>
    </row>
    <row r="58" spans="2:79">
      <c r="B58" s="46" t="s">
        <v>77</v>
      </c>
      <c r="C58" s="13" t="s">
        <v>87</v>
      </c>
      <c r="D58" s="54" t="s">
        <v>135</v>
      </c>
      <c r="E58" s="6" t="s">
        <v>17</v>
      </c>
      <c r="F58" s="4" t="s">
        <v>17</v>
      </c>
      <c r="G58" s="4" t="s">
        <v>17</v>
      </c>
      <c r="H58" s="4" t="s">
        <v>17</v>
      </c>
      <c r="I58" s="4" t="s">
        <v>3</v>
      </c>
      <c r="J58" s="4">
        <v>0</v>
      </c>
      <c r="K58" s="4" t="s">
        <v>3</v>
      </c>
      <c r="L58" s="5">
        <v>0</v>
      </c>
      <c r="M58" s="7"/>
      <c r="N58" s="6" t="s">
        <v>17</v>
      </c>
      <c r="O58" s="4" t="s">
        <v>17</v>
      </c>
      <c r="P58" s="4" t="s">
        <v>17</v>
      </c>
      <c r="Q58" s="4" t="s">
        <v>17</v>
      </c>
      <c r="R58" s="4" t="s">
        <v>3</v>
      </c>
      <c r="S58" s="4">
        <v>0</v>
      </c>
      <c r="T58" s="4" t="s">
        <v>3</v>
      </c>
      <c r="U58" s="5">
        <v>0</v>
      </c>
      <c r="V58" s="7"/>
      <c r="W58" s="6" t="s">
        <v>17</v>
      </c>
      <c r="X58" s="4" t="s">
        <v>17</v>
      </c>
      <c r="Y58" s="4" t="s">
        <v>17</v>
      </c>
      <c r="Z58" s="4" t="s">
        <v>17</v>
      </c>
      <c r="AA58" s="4" t="s">
        <v>3</v>
      </c>
      <c r="AB58" s="4">
        <v>0</v>
      </c>
      <c r="AC58" s="4" t="s">
        <v>3</v>
      </c>
      <c r="AD58" s="5">
        <v>0</v>
      </c>
      <c r="AE58" s="7"/>
      <c r="AF58" s="6" t="s">
        <v>17</v>
      </c>
      <c r="AG58" s="4" t="s">
        <v>17</v>
      </c>
      <c r="AH58" s="4" t="s">
        <v>17</v>
      </c>
      <c r="AI58" s="4" t="s">
        <v>17</v>
      </c>
      <c r="AJ58" s="4" t="s">
        <v>3</v>
      </c>
      <c r="AK58" s="4">
        <v>0</v>
      </c>
      <c r="AL58" s="4" t="s">
        <v>5</v>
      </c>
      <c r="AM58" s="5">
        <v>0</v>
      </c>
      <c r="AN58" s="7"/>
      <c r="AO58" s="6" t="s">
        <v>13</v>
      </c>
      <c r="AP58" s="4" t="s">
        <v>13</v>
      </c>
      <c r="AQ58" s="4" t="s">
        <v>13</v>
      </c>
      <c r="AR58" s="5" t="s">
        <v>13</v>
      </c>
      <c r="AT58" s="4" t="s">
        <v>1</v>
      </c>
      <c r="AU58" s="4" t="str">
        <f t="shared" si="0"/>
        <v>N</v>
      </c>
      <c r="AV58" s="4" t="s">
        <v>3</v>
      </c>
      <c r="AW58" s="4" t="str">
        <f t="shared" si="1"/>
        <v>Sim</v>
      </c>
      <c r="AX58" s="4" t="s">
        <v>3</v>
      </c>
      <c r="AY58" s="4" t="str">
        <f t="shared" si="2"/>
        <v>Sim</v>
      </c>
      <c r="AZ58" s="4" t="s">
        <v>1</v>
      </c>
      <c r="BA58" s="4" t="str">
        <f t="shared" si="3"/>
        <v>Sim</v>
      </c>
      <c r="BB58" s="4" t="s">
        <v>5</v>
      </c>
      <c r="BC58" s="4" t="str">
        <f t="shared" si="4"/>
        <v>Sim</v>
      </c>
      <c r="BD58" s="4" t="s">
        <v>3</v>
      </c>
      <c r="BE58" s="4" t="str">
        <f t="shared" si="5"/>
        <v>Sim</v>
      </c>
      <c r="BF58" s="4" t="s">
        <v>3</v>
      </c>
      <c r="BG58" s="4" t="str">
        <f t="shared" si="6"/>
        <v>N</v>
      </c>
      <c r="BH58" s="4" t="s">
        <v>3</v>
      </c>
      <c r="BI58" s="4" t="str">
        <f t="shared" si="7"/>
        <v>Sim</v>
      </c>
      <c r="BJ58" s="4" t="s">
        <v>3</v>
      </c>
      <c r="BK58" s="4" t="str">
        <f t="shared" si="8"/>
        <v>N</v>
      </c>
      <c r="BL58" s="4" t="s">
        <v>1</v>
      </c>
      <c r="BM58" s="4" t="str">
        <f t="shared" si="9"/>
        <v>N</v>
      </c>
      <c r="BN58" s="4" t="s">
        <v>3</v>
      </c>
      <c r="BO58" s="4" t="str">
        <f t="shared" si="10"/>
        <v>Sim</v>
      </c>
      <c r="BP58" s="4" t="s">
        <v>3</v>
      </c>
      <c r="BQ58" s="4" t="str">
        <f t="shared" si="11"/>
        <v>Sim</v>
      </c>
      <c r="BR58" s="4" t="s">
        <v>3</v>
      </c>
      <c r="BS58" s="4" t="str">
        <f t="shared" si="12"/>
        <v>Sim</v>
      </c>
      <c r="BT58" s="4" t="s">
        <v>5</v>
      </c>
      <c r="BU58" s="4" t="str">
        <f t="shared" si="13"/>
        <v>N</v>
      </c>
      <c r="BV58" s="4" t="s">
        <v>3</v>
      </c>
      <c r="BW58" s="4" t="str">
        <f t="shared" si="14"/>
        <v>N</v>
      </c>
      <c r="BX58" s="4" t="s">
        <v>1</v>
      </c>
      <c r="BY58" s="4" t="str">
        <f t="shared" si="15"/>
        <v>N</v>
      </c>
      <c r="BZ58" s="4" t="s">
        <v>17</v>
      </c>
      <c r="CA58" s="4" t="str">
        <f t="shared" si="16"/>
        <v>N</v>
      </c>
    </row>
    <row r="59" spans="2:79">
      <c r="B59" s="45" t="s">
        <v>77</v>
      </c>
      <c r="C59" s="44" t="s">
        <v>57</v>
      </c>
      <c r="D59" s="53" t="s">
        <v>136</v>
      </c>
      <c r="E59" s="6" t="s">
        <v>17</v>
      </c>
      <c r="F59" s="4" t="s">
        <v>17</v>
      </c>
      <c r="G59" s="4" t="s">
        <v>17</v>
      </c>
      <c r="H59" s="4" t="s">
        <v>17</v>
      </c>
      <c r="I59" s="4" t="s">
        <v>17</v>
      </c>
      <c r="J59" s="4" t="s">
        <v>17</v>
      </c>
      <c r="K59" s="4" t="s">
        <v>17</v>
      </c>
      <c r="L59" s="5" t="s">
        <v>17</v>
      </c>
      <c r="M59" s="7"/>
      <c r="N59" s="6" t="s">
        <v>17</v>
      </c>
      <c r="O59" s="4" t="s">
        <v>17</v>
      </c>
      <c r="P59" s="4" t="s">
        <v>17</v>
      </c>
      <c r="Q59" s="4" t="s">
        <v>17</v>
      </c>
      <c r="R59" s="4" t="s">
        <v>17</v>
      </c>
      <c r="S59" s="4" t="s">
        <v>17</v>
      </c>
      <c r="T59" s="4" t="s">
        <v>17</v>
      </c>
      <c r="U59" s="5" t="s">
        <v>17</v>
      </c>
      <c r="V59" s="7"/>
      <c r="W59" s="6" t="s">
        <v>17</v>
      </c>
      <c r="X59" s="4" t="s">
        <v>17</v>
      </c>
      <c r="Y59" s="4" t="s">
        <v>17</v>
      </c>
      <c r="Z59" s="4" t="s">
        <v>17</v>
      </c>
      <c r="AA59" s="4" t="s">
        <v>17</v>
      </c>
      <c r="AB59" s="4" t="s">
        <v>17</v>
      </c>
      <c r="AC59" s="4" t="s">
        <v>17</v>
      </c>
      <c r="AD59" s="5" t="s">
        <v>17</v>
      </c>
      <c r="AE59" s="7"/>
      <c r="AF59" s="6" t="s">
        <v>17</v>
      </c>
      <c r="AG59" s="4" t="s">
        <v>17</v>
      </c>
      <c r="AH59" s="4" t="s">
        <v>17</v>
      </c>
      <c r="AI59" s="4" t="s">
        <v>17</v>
      </c>
      <c r="AJ59" s="4" t="s">
        <v>3</v>
      </c>
      <c r="AK59" s="4">
        <v>0</v>
      </c>
      <c r="AL59" s="4" t="s">
        <v>5</v>
      </c>
      <c r="AM59" s="5">
        <v>0</v>
      </c>
      <c r="AN59" s="7"/>
      <c r="AO59" s="6" t="s">
        <v>15</v>
      </c>
      <c r="AP59" s="4" t="s">
        <v>15</v>
      </c>
      <c r="AQ59" s="4" t="s">
        <v>15</v>
      </c>
      <c r="AR59" s="5" t="s">
        <v>13</v>
      </c>
      <c r="AT59" s="4" t="s">
        <v>17</v>
      </c>
      <c r="AU59" s="4" t="str">
        <f t="shared" si="0"/>
        <v>N</v>
      </c>
      <c r="AV59" s="4" t="s">
        <v>17</v>
      </c>
      <c r="AW59" s="4" t="str">
        <f t="shared" si="1"/>
        <v>N</v>
      </c>
      <c r="AX59" s="4" t="s">
        <v>17</v>
      </c>
      <c r="AY59" s="4" t="str">
        <f t="shared" si="2"/>
        <v>N</v>
      </c>
      <c r="AZ59" s="4" t="s">
        <v>17</v>
      </c>
      <c r="BA59" s="4" t="str">
        <f t="shared" si="3"/>
        <v>N</v>
      </c>
      <c r="BB59" s="4" t="s">
        <v>5</v>
      </c>
      <c r="BC59" s="4" t="str">
        <f t="shared" si="4"/>
        <v>Sim</v>
      </c>
      <c r="BD59" s="4" t="s">
        <v>17</v>
      </c>
      <c r="BE59" s="4" t="str">
        <f t="shared" si="5"/>
        <v>N</v>
      </c>
      <c r="BF59" s="4" t="s">
        <v>17</v>
      </c>
      <c r="BG59" s="4" t="str">
        <f t="shared" si="6"/>
        <v>N</v>
      </c>
      <c r="BH59" s="4" t="s">
        <v>17</v>
      </c>
      <c r="BI59" s="4" t="str">
        <f t="shared" si="7"/>
        <v>N</v>
      </c>
      <c r="BJ59" s="4" t="s">
        <v>17</v>
      </c>
      <c r="BK59" s="4" t="str">
        <f t="shared" si="8"/>
        <v>N</v>
      </c>
      <c r="BL59" s="4" t="s">
        <v>17</v>
      </c>
      <c r="BM59" s="4" t="str">
        <f t="shared" si="9"/>
        <v>N</v>
      </c>
      <c r="BN59" s="4" t="s">
        <v>3</v>
      </c>
      <c r="BO59" s="4" t="str">
        <f t="shared" si="10"/>
        <v>Sim</v>
      </c>
      <c r="BP59" s="4" t="s">
        <v>17</v>
      </c>
      <c r="BQ59" s="4" t="str">
        <f t="shared" si="11"/>
        <v>N</v>
      </c>
      <c r="BR59" s="4" t="s">
        <v>17</v>
      </c>
      <c r="BS59" s="4" t="str">
        <f t="shared" si="12"/>
        <v>N</v>
      </c>
      <c r="BT59" s="4" t="s">
        <v>17</v>
      </c>
      <c r="BU59" s="4" t="str">
        <f t="shared" si="13"/>
        <v>N</v>
      </c>
      <c r="BV59" s="4" t="s">
        <v>17</v>
      </c>
      <c r="BW59" s="4" t="str">
        <f t="shared" si="14"/>
        <v>N</v>
      </c>
      <c r="BX59" s="4" t="s">
        <v>17</v>
      </c>
      <c r="BY59" s="4" t="str">
        <f t="shared" si="15"/>
        <v>N</v>
      </c>
      <c r="BZ59" s="4" t="s">
        <v>17</v>
      </c>
      <c r="CA59" s="4" t="str">
        <f t="shared" si="16"/>
        <v>N</v>
      </c>
    </row>
    <row r="60" spans="2:79">
      <c r="B60" s="46" t="s">
        <v>77</v>
      </c>
      <c r="C60" s="13" t="s">
        <v>87</v>
      </c>
      <c r="D60" s="54" t="s">
        <v>137</v>
      </c>
      <c r="E60" s="6" t="s">
        <v>3</v>
      </c>
      <c r="F60" s="4">
        <v>1</v>
      </c>
      <c r="G60" s="4" t="s">
        <v>3</v>
      </c>
      <c r="H60" s="4">
        <v>1</v>
      </c>
      <c r="I60" s="4" t="s">
        <v>5</v>
      </c>
      <c r="J60" s="4">
        <v>1</v>
      </c>
      <c r="K60" s="4" t="s">
        <v>5</v>
      </c>
      <c r="L60" s="5">
        <v>1</v>
      </c>
      <c r="M60" s="7"/>
      <c r="N60" s="6" t="s">
        <v>3</v>
      </c>
      <c r="O60" s="4">
        <v>1</v>
      </c>
      <c r="P60" s="4" t="s">
        <v>3</v>
      </c>
      <c r="Q60" s="4">
        <v>1</v>
      </c>
      <c r="R60" s="4" t="s">
        <v>5</v>
      </c>
      <c r="S60" s="4">
        <v>1</v>
      </c>
      <c r="T60" s="4" t="s">
        <v>5</v>
      </c>
      <c r="U60" s="5">
        <v>1</v>
      </c>
      <c r="V60" s="7"/>
      <c r="W60" s="6" t="s">
        <v>3</v>
      </c>
      <c r="X60" s="4">
        <v>1</v>
      </c>
      <c r="Y60" s="4" t="s">
        <v>3</v>
      </c>
      <c r="Z60" s="4">
        <v>1</v>
      </c>
      <c r="AA60" s="4" t="s">
        <v>5</v>
      </c>
      <c r="AB60" s="4">
        <v>1</v>
      </c>
      <c r="AC60" s="4" t="s">
        <v>5</v>
      </c>
      <c r="AD60" s="5">
        <v>1</v>
      </c>
      <c r="AE60" s="7"/>
      <c r="AF60" s="6" t="s">
        <v>3</v>
      </c>
      <c r="AG60" s="4">
        <v>1</v>
      </c>
      <c r="AH60" s="4" t="s">
        <v>3</v>
      </c>
      <c r="AI60" s="4">
        <v>1</v>
      </c>
      <c r="AJ60" s="4" t="s">
        <v>5</v>
      </c>
      <c r="AK60" s="4">
        <v>1</v>
      </c>
      <c r="AL60" s="4" t="s">
        <v>7</v>
      </c>
      <c r="AM60" s="5">
        <v>1</v>
      </c>
      <c r="AN60" s="7"/>
      <c r="AO60" s="6" t="s">
        <v>13</v>
      </c>
      <c r="AP60" s="4" t="s">
        <v>13</v>
      </c>
      <c r="AQ60" s="4" t="s">
        <v>13</v>
      </c>
      <c r="AR60" s="5" t="s">
        <v>13</v>
      </c>
      <c r="AT60" s="4" t="s">
        <v>5</v>
      </c>
      <c r="AU60" s="4" t="str">
        <f t="shared" si="0"/>
        <v>Sim</v>
      </c>
      <c r="AV60" s="4" t="s">
        <v>5</v>
      </c>
      <c r="AW60" s="4" t="str">
        <f t="shared" si="1"/>
        <v>Sim</v>
      </c>
      <c r="AX60" s="4" t="s">
        <v>5</v>
      </c>
      <c r="AY60" s="4" t="str">
        <f t="shared" si="2"/>
        <v>Sim</v>
      </c>
      <c r="AZ60" s="4" t="s">
        <v>5</v>
      </c>
      <c r="BA60" s="4" t="str">
        <f t="shared" si="3"/>
        <v>Sim</v>
      </c>
      <c r="BB60" s="4" t="s">
        <v>7</v>
      </c>
      <c r="BC60" s="4" t="str">
        <f t="shared" si="4"/>
        <v>Sim</v>
      </c>
      <c r="BD60" s="4" t="s">
        <v>5</v>
      </c>
      <c r="BE60" s="4" t="str">
        <f t="shared" si="5"/>
        <v>Sim</v>
      </c>
      <c r="BF60" s="4" t="s">
        <v>3</v>
      </c>
      <c r="BG60" s="4" t="str">
        <f t="shared" si="6"/>
        <v>Sim</v>
      </c>
      <c r="BH60" s="4" t="s">
        <v>5</v>
      </c>
      <c r="BI60" s="4" t="str">
        <f t="shared" si="7"/>
        <v>Sim</v>
      </c>
      <c r="BJ60" s="4" t="s">
        <v>5</v>
      </c>
      <c r="BK60" s="4" t="str">
        <f t="shared" si="8"/>
        <v>Sim</v>
      </c>
      <c r="BL60" s="4" t="s">
        <v>5</v>
      </c>
      <c r="BM60" s="4" t="str">
        <f t="shared" si="9"/>
        <v>Sim</v>
      </c>
      <c r="BN60" s="4" t="s">
        <v>5</v>
      </c>
      <c r="BO60" s="4" t="str">
        <f t="shared" si="10"/>
        <v>Sim</v>
      </c>
      <c r="BP60" s="4" t="s">
        <v>5</v>
      </c>
      <c r="BQ60" s="4" t="str">
        <f t="shared" si="11"/>
        <v>Sim</v>
      </c>
      <c r="BR60" s="4" t="s">
        <v>5</v>
      </c>
      <c r="BS60" s="4" t="str">
        <f t="shared" si="12"/>
        <v>Sim</v>
      </c>
      <c r="BT60" s="4" t="s">
        <v>5</v>
      </c>
      <c r="BU60" s="4" t="str">
        <f t="shared" si="13"/>
        <v>Sim</v>
      </c>
      <c r="BV60" s="4" t="s">
        <v>3</v>
      </c>
      <c r="BW60" s="4" t="str">
        <f t="shared" si="14"/>
        <v>Sim</v>
      </c>
      <c r="BX60" s="4" t="s">
        <v>5</v>
      </c>
      <c r="BY60" s="4" t="str">
        <f t="shared" si="15"/>
        <v>Sim</v>
      </c>
      <c r="BZ60" s="4" t="s">
        <v>5</v>
      </c>
      <c r="CA60" s="4" t="str">
        <f t="shared" si="16"/>
        <v>Sim</v>
      </c>
    </row>
    <row r="61" spans="2:79">
      <c r="B61" s="45" t="s">
        <v>77</v>
      </c>
      <c r="C61" s="44" t="s">
        <v>87</v>
      </c>
      <c r="D61" s="53" t="s">
        <v>138</v>
      </c>
      <c r="E61" s="6" t="s">
        <v>17</v>
      </c>
      <c r="F61" s="4" t="s">
        <v>17</v>
      </c>
      <c r="G61" s="4" t="s">
        <v>17</v>
      </c>
      <c r="H61" s="4" t="s">
        <v>17</v>
      </c>
      <c r="I61" s="4" t="s">
        <v>3</v>
      </c>
      <c r="J61" s="4">
        <v>1</v>
      </c>
      <c r="K61" s="4" t="s">
        <v>5</v>
      </c>
      <c r="L61" s="5">
        <v>1</v>
      </c>
      <c r="M61" s="7"/>
      <c r="N61" s="6" t="s">
        <v>17</v>
      </c>
      <c r="O61" s="4" t="s">
        <v>17</v>
      </c>
      <c r="P61" s="4" t="s">
        <v>17</v>
      </c>
      <c r="Q61" s="4" t="s">
        <v>17</v>
      </c>
      <c r="R61" s="4" t="s">
        <v>17</v>
      </c>
      <c r="S61" s="4" t="s">
        <v>17</v>
      </c>
      <c r="T61" s="4" t="s">
        <v>17</v>
      </c>
      <c r="U61" s="5" t="s">
        <v>17</v>
      </c>
      <c r="V61" s="7"/>
      <c r="W61" s="6" t="s">
        <v>17</v>
      </c>
      <c r="X61" s="4" t="s">
        <v>17</v>
      </c>
      <c r="Y61" s="4" t="s">
        <v>17</v>
      </c>
      <c r="Z61" s="4" t="s">
        <v>17</v>
      </c>
      <c r="AA61" s="4" t="s">
        <v>17</v>
      </c>
      <c r="AB61" s="4" t="s">
        <v>17</v>
      </c>
      <c r="AC61" s="4" t="s">
        <v>17</v>
      </c>
      <c r="AD61" s="5" t="s">
        <v>17</v>
      </c>
      <c r="AE61" s="7"/>
      <c r="AF61" s="6" t="s">
        <v>17</v>
      </c>
      <c r="AG61" s="4" t="s">
        <v>17</v>
      </c>
      <c r="AH61" s="4" t="s">
        <v>17</v>
      </c>
      <c r="AI61" s="4" t="s">
        <v>17</v>
      </c>
      <c r="AJ61" s="4" t="s">
        <v>3</v>
      </c>
      <c r="AK61" s="4">
        <v>0</v>
      </c>
      <c r="AL61" s="4" t="s">
        <v>5</v>
      </c>
      <c r="AM61" s="5">
        <v>0</v>
      </c>
      <c r="AN61" s="7"/>
      <c r="AO61" s="6" t="s">
        <v>13</v>
      </c>
      <c r="AP61" s="4" t="s">
        <v>15</v>
      </c>
      <c r="AQ61" s="4" t="s">
        <v>15</v>
      </c>
      <c r="AR61" s="5" t="s">
        <v>13</v>
      </c>
      <c r="AT61" s="4" t="s">
        <v>17</v>
      </c>
      <c r="AU61" s="4" t="str">
        <f t="shared" si="0"/>
        <v>N</v>
      </c>
      <c r="AV61" s="4" t="s">
        <v>3</v>
      </c>
      <c r="AW61" s="4" t="str">
        <f t="shared" si="1"/>
        <v>Sim</v>
      </c>
      <c r="AX61" s="4" t="s">
        <v>17</v>
      </c>
      <c r="AY61" s="4" t="str">
        <f t="shared" si="2"/>
        <v>N</v>
      </c>
      <c r="AZ61" s="4" t="s">
        <v>3</v>
      </c>
      <c r="BA61" s="4" t="str">
        <f t="shared" si="3"/>
        <v>Sim</v>
      </c>
      <c r="BB61" s="4" t="s">
        <v>5</v>
      </c>
      <c r="BC61" s="4" t="str">
        <f t="shared" si="4"/>
        <v>Sim</v>
      </c>
      <c r="BD61" s="4" t="s">
        <v>17</v>
      </c>
      <c r="BE61" s="4" t="str">
        <f t="shared" si="5"/>
        <v>N</v>
      </c>
      <c r="BF61" s="4" t="s">
        <v>17</v>
      </c>
      <c r="BG61" s="4" t="str">
        <f t="shared" si="6"/>
        <v>N</v>
      </c>
      <c r="BH61" s="4" t="s">
        <v>3</v>
      </c>
      <c r="BI61" s="4" t="str">
        <f t="shared" si="7"/>
        <v>Sim</v>
      </c>
      <c r="BJ61" s="4" t="s">
        <v>17</v>
      </c>
      <c r="BK61" s="4" t="str">
        <f t="shared" si="8"/>
        <v>N</v>
      </c>
      <c r="BL61" s="4" t="s">
        <v>17</v>
      </c>
      <c r="BM61" s="4" t="str">
        <f t="shared" si="9"/>
        <v>N</v>
      </c>
      <c r="BN61" s="4" t="s">
        <v>3</v>
      </c>
      <c r="BO61" s="4" t="str">
        <f t="shared" si="10"/>
        <v>Sim</v>
      </c>
      <c r="BP61" s="4" t="s">
        <v>17</v>
      </c>
      <c r="BQ61" s="4" t="str">
        <f t="shared" si="11"/>
        <v>N</v>
      </c>
      <c r="BR61" s="4" t="s">
        <v>3</v>
      </c>
      <c r="BS61" s="4" t="str">
        <f t="shared" si="12"/>
        <v>Sim</v>
      </c>
      <c r="BT61" s="4" t="s">
        <v>3</v>
      </c>
      <c r="BU61" s="4" t="str">
        <f t="shared" si="13"/>
        <v>N</v>
      </c>
      <c r="BV61" s="4" t="s">
        <v>1</v>
      </c>
      <c r="BW61" s="4" t="str">
        <f t="shared" si="14"/>
        <v>N</v>
      </c>
      <c r="BX61" s="4" t="s">
        <v>17</v>
      </c>
      <c r="BY61" s="4" t="str">
        <f t="shared" si="15"/>
        <v>N</v>
      </c>
      <c r="BZ61" s="4" t="s">
        <v>17</v>
      </c>
      <c r="CA61" s="4" t="str">
        <f t="shared" si="16"/>
        <v>N</v>
      </c>
    </row>
    <row r="62" spans="2:79">
      <c r="B62" s="46" t="s">
        <v>77</v>
      </c>
      <c r="C62" s="13" t="s">
        <v>87</v>
      </c>
      <c r="D62" s="54" t="s">
        <v>139</v>
      </c>
      <c r="E62" s="6" t="s">
        <v>17</v>
      </c>
      <c r="F62" s="4" t="s">
        <v>17</v>
      </c>
      <c r="G62" s="4" t="s">
        <v>17</v>
      </c>
      <c r="H62" s="4" t="s">
        <v>17</v>
      </c>
      <c r="I62" s="4" t="s">
        <v>17</v>
      </c>
      <c r="J62" s="4" t="s">
        <v>17</v>
      </c>
      <c r="K62" s="4" t="s">
        <v>17</v>
      </c>
      <c r="L62" s="5" t="s">
        <v>17</v>
      </c>
      <c r="M62" s="7"/>
      <c r="N62" s="6" t="s">
        <v>17</v>
      </c>
      <c r="O62" s="4" t="s">
        <v>17</v>
      </c>
      <c r="P62" s="4" t="s">
        <v>17</v>
      </c>
      <c r="Q62" s="4" t="s">
        <v>17</v>
      </c>
      <c r="R62" s="4" t="s">
        <v>17</v>
      </c>
      <c r="S62" s="4" t="s">
        <v>17</v>
      </c>
      <c r="T62" s="4" t="s">
        <v>17</v>
      </c>
      <c r="U62" s="5" t="s">
        <v>17</v>
      </c>
      <c r="V62" s="7"/>
      <c r="W62" s="6" t="s">
        <v>17</v>
      </c>
      <c r="X62" s="4" t="s">
        <v>17</v>
      </c>
      <c r="Y62" s="4" t="s">
        <v>17</v>
      </c>
      <c r="Z62" s="4" t="s">
        <v>17</v>
      </c>
      <c r="AA62" s="4" t="s">
        <v>5</v>
      </c>
      <c r="AB62" s="4">
        <v>1</v>
      </c>
      <c r="AC62" s="4" t="s">
        <v>5</v>
      </c>
      <c r="AD62" s="5">
        <v>1</v>
      </c>
      <c r="AE62" s="7"/>
      <c r="AF62" s="6" t="s">
        <v>3</v>
      </c>
      <c r="AG62" s="4">
        <v>0</v>
      </c>
      <c r="AH62" s="4" t="s">
        <v>3</v>
      </c>
      <c r="AI62" s="4">
        <v>1</v>
      </c>
      <c r="AJ62" s="4" t="s">
        <v>5</v>
      </c>
      <c r="AK62" s="4">
        <v>1</v>
      </c>
      <c r="AL62" s="4" t="s">
        <v>7</v>
      </c>
      <c r="AM62" s="5">
        <v>1</v>
      </c>
      <c r="AN62" s="7"/>
      <c r="AO62" s="6" t="s">
        <v>15</v>
      </c>
      <c r="AP62" s="4" t="s">
        <v>15</v>
      </c>
      <c r="AQ62" s="4" t="s">
        <v>13</v>
      </c>
      <c r="AR62" s="5" t="s">
        <v>13</v>
      </c>
      <c r="AT62" s="4" t="s">
        <v>17</v>
      </c>
      <c r="AU62" s="4" t="str">
        <f t="shared" si="0"/>
        <v>N</v>
      </c>
      <c r="AV62" s="4" t="s">
        <v>17</v>
      </c>
      <c r="AW62" s="4" t="str">
        <f t="shared" si="1"/>
        <v>N</v>
      </c>
      <c r="AX62" s="4" t="s">
        <v>17</v>
      </c>
      <c r="AY62" s="4" t="str">
        <f t="shared" si="2"/>
        <v>N</v>
      </c>
      <c r="AZ62" s="4" t="s">
        <v>17</v>
      </c>
      <c r="BA62" s="4" t="str">
        <f t="shared" si="3"/>
        <v>N</v>
      </c>
      <c r="BB62" s="4" t="s">
        <v>7</v>
      </c>
      <c r="BC62" s="4" t="str">
        <f t="shared" si="4"/>
        <v>Sim</v>
      </c>
      <c r="BD62" s="4" t="s">
        <v>5</v>
      </c>
      <c r="BE62" s="4" t="str">
        <f t="shared" si="5"/>
        <v>Sim</v>
      </c>
      <c r="BF62" s="4" t="s">
        <v>3</v>
      </c>
      <c r="BG62" s="4" t="str">
        <f t="shared" si="6"/>
        <v>N</v>
      </c>
      <c r="BH62" s="4" t="s">
        <v>17</v>
      </c>
      <c r="BI62" s="4" t="str">
        <f t="shared" si="7"/>
        <v>N</v>
      </c>
      <c r="BJ62" s="4" t="s">
        <v>1</v>
      </c>
      <c r="BK62" s="4" t="str">
        <f t="shared" si="8"/>
        <v>N</v>
      </c>
      <c r="BL62" s="4" t="s">
        <v>1</v>
      </c>
      <c r="BM62" s="4" t="str">
        <f t="shared" si="9"/>
        <v>N</v>
      </c>
      <c r="BN62" s="4" t="s">
        <v>7</v>
      </c>
      <c r="BO62" s="4" t="str">
        <f t="shared" si="10"/>
        <v>Sim</v>
      </c>
      <c r="BP62" s="4" t="s">
        <v>17</v>
      </c>
      <c r="BQ62" s="4" t="str">
        <f t="shared" si="11"/>
        <v>N</v>
      </c>
      <c r="BR62" s="4" t="s">
        <v>17</v>
      </c>
      <c r="BS62" s="4" t="str">
        <f t="shared" si="12"/>
        <v>N</v>
      </c>
      <c r="BT62" s="4" t="s">
        <v>17</v>
      </c>
      <c r="BU62" s="4" t="str">
        <f t="shared" si="13"/>
        <v>N</v>
      </c>
      <c r="BV62" s="4" t="s">
        <v>17</v>
      </c>
      <c r="BW62" s="4" t="str">
        <f t="shared" si="14"/>
        <v>N</v>
      </c>
      <c r="BX62" s="4" t="s">
        <v>17</v>
      </c>
      <c r="BY62" s="4" t="str">
        <f t="shared" si="15"/>
        <v>N</v>
      </c>
      <c r="BZ62" s="4" t="s">
        <v>17</v>
      </c>
      <c r="CA62" s="4" t="str">
        <f t="shared" si="16"/>
        <v>N</v>
      </c>
    </row>
    <row r="63" spans="2:79">
      <c r="B63" s="45" t="s">
        <v>77</v>
      </c>
      <c r="C63" s="44" t="s">
        <v>57</v>
      </c>
      <c r="D63" s="53" t="s">
        <v>140</v>
      </c>
      <c r="E63" s="6" t="s">
        <v>17</v>
      </c>
      <c r="F63" s="4" t="s">
        <v>17</v>
      </c>
      <c r="G63" s="4" t="s">
        <v>17</v>
      </c>
      <c r="H63" s="4" t="s">
        <v>17</v>
      </c>
      <c r="I63" s="4" t="s">
        <v>17</v>
      </c>
      <c r="J63" s="4" t="s">
        <v>17</v>
      </c>
      <c r="K63" s="4" t="s">
        <v>17</v>
      </c>
      <c r="L63" s="5" t="s">
        <v>17</v>
      </c>
      <c r="M63" s="7"/>
      <c r="N63" s="6" t="s">
        <v>17</v>
      </c>
      <c r="O63" s="4" t="s">
        <v>17</v>
      </c>
      <c r="P63" s="4" t="s">
        <v>17</v>
      </c>
      <c r="Q63" s="4" t="s">
        <v>17</v>
      </c>
      <c r="R63" s="4" t="s">
        <v>17</v>
      </c>
      <c r="S63" s="4" t="s">
        <v>17</v>
      </c>
      <c r="T63" s="4" t="s">
        <v>17</v>
      </c>
      <c r="U63" s="5" t="s">
        <v>17</v>
      </c>
      <c r="V63" s="7"/>
      <c r="W63" s="6" t="s">
        <v>17</v>
      </c>
      <c r="X63" s="4" t="s">
        <v>17</v>
      </c>
      <c r="Y63" s="4" t="s">
        <v>17</v>
      </c>
      <c r="Z63" s="4" t="s">
        <v>17</v>
      </c>
      <c r="AA63" s="4" t="s">
        <v>17</v>
      </c>
      <c r="AB63" s="4" t="s">
        <v>17</v>
      </c>
      <c r="AC63" s="4" t="s">
        <v>17</v>
      </c>
      <c r="AD63" s="5" t="s">
        <v>17</v>
      </c>
      <c r="AE63" s="7"/>
      <c r="AF63" s="6" t="s">
        <v>17</v>
      </c>
      <c r="AG63" s="4" t="s">
        <v>17</v>
      </c>
      <c r="AH63" s="4" t="s">
        <v>17</v>
      </c>
      <c r="AI63" s="4" t="s">
        <v>17</v>
      </c>
      <c r="AJ63" s="4" t="s">
        <v>3</v>
      </c>
      <c r="AK63" s="4">
        <v>1</v>
      </c>
      <c r="AL63" s="4" t="s">
        <v>5</v>
      </c>
      <c r="AM63" s="5">
        <v>1</v>
      </c>
      <c r="AN63" s="7"/>
      <c r="AO63" s="6" t="s">
        <v>15</v>
      </c>
      <c r="AP63" s="4" t="s">
        <v>15</v>
      </c>
      <c r="AQ63" s="4" t="s">
        <v>15</v>
      </c>
      <c r="AR63" s="5" t="s">
        <v>13</v>
      </c>
      <c r="AT63" s="4" t="s">
        <v>17</v>
      </c>
      <c r="AU63" s="4" t="str">
        <f t="shared" si="0"/>
        <v>N</v>
      </c>
      <c r="AV63" s="4" t="s">
        <v>17</v>
      </c>
      <c r="AW63" s="4" t="str">
        <f t="shared" si="1"/>
        <v>N</v>
      </c>
      <c r="AX63" s="4" t="s">
        <v>17</v>
      </c>
      <c r="AY63" s="4" t="str">
        <f t="shared" si="2"/>
        <v>N</v>
      </c>
      <c r="AZ63" s="4" t="s">
        <v>17</v>
      </c>
      <c r="BA63" s="4" t="str">
        <f t="shared" si="3"/>
        <v>N</v>
      </c>
      <c r="BB63" s="4" t="s">
        <v>5</v>
      </c>
      <c r="BC63" s="4" t="str">
        <f t="shared" si="4"/>
        <v>Sim</v>
      </c>
      <c r="BD63" s="4" t="s">
        <v>17</v>
      </c>
      <c r="BE63" s="4" t="str">
        <f t="shared" si="5"/>
        <v>N</v>
      </c>
      <c r="BF63" s="4" t="s">
        <v>17</v>
      </c>
      <c r="BG63" s="4" t="str">
        <f t="shared" si="6"/>
        <v>N</v>
      </c>
      <c r="BH63" s="4" t="s">
        <v>17</v>
      </c>
      <c r="BI63" s="4" t="str">
        <f t="shared" si="7"/>
        <v>N</v>
      </c>
      <c r="BJ63" s="4" t="s">
        <v>17</v>
      </c>
      <c r="BK63" s="4" t="str">
        <f t="shared" si="8"/>
        <v>N</v>
      </c>
      <c r="BL63" s="4" t="s">
        <v>17</v>
      </c>
      <c r="BM63" s="4" t="str">
        <f t="shared" si="9"/>
        <v>N</v>
      </c>
      <c r="BN63" s="4" t="s">
        <v>5</v>
      </c>
      <c r="BO63" s="4" t="str">
        <f t="shared" si="10"/>
        <v>Sim</v>
      </c>
      <c r="BP63" s="4" t="s">
        <v>17</v>
      </c>
      <c r="BQ63" s="4" t="str">
        <f t="shared" si="11"/>
        <v>N</v>
      </c>
      <c r="BR63" s="4" t="s">
        <v>17</v>
      </c>
      <c r="BS63" s="4" t="str">
        <f t="shared" si="12"/>
        <v>N</v>
      </c>
      <c r="BT63" s="4" t="s">
        <v>17</v>
      </c>
      <c r="BU63" s="4" t="str">
        <f t="shared" si="13"/>
        <v>N</v>
      </c>
      <c r="BV63" s="4" t="s">
        <v>17</v>
      </c>
      <c r="BW63" s="4" t="str">
        <f t="shared" si="14"/>
        <v>N</v>
      </c>
      <c r="BX63" s="4" t="s">
        <v>17</v>
      </c>
      <c r="BY63" s="4" t="str">
        <f t="shared" si="15"/>
        <v>N</v>
      </c>
      <c r="BZ63" s="4" t="s">
        <v>17</v>
      </c>
      <c r="CA63" s="4" t="str">
        <f t="shared" si="16"/>
        <v>N</v>
      </c>
    </row>
    <row r="64" spans="2:79">
      <c r="B64" s="46" t="s">
        <v>77</v>
      </c>
      <c r="C64" s="13" t="s">
        <v>57</v>
      </c>
      <c r="D64" s="54" t="s">
        <v>141</v>
      </c>
      <c r="E64" s="6" t="s">
        <v>17</v>
      </c>
      <c r="F64" s="4" t="s">
        <v>17</v>
      </c>
      <c r="G64" s="4" t="s">
        <v>17</v>
      </c>
      <c r="H64" s="4" t="s">
        <v>17</v>
      </c>
      <c r="I64" s="4" t="s">
        <v>17</v>
      </c>
      <c r="J64" s="4" t="s">
        <v>17</v>
      </c>
      <c r="K64" s="4" t="s">
        <v>17</v>
      </c>
      <c r="L64" s="5" t="s">
        <v>17</v>
      </c>
      <c r="M64" s="7"/>
      <c r="N64" s="6" t="s">
        <v>17</v>
      </c>
      <c r="O64" s="4" t="s">
        <v>17</v>
      </c>
      <c r="P64" s="4" t="s">
        <v>17</v>
      </c>
      <c r="Q64" s="4" t="s">
        <v>17</v>
      </c>
      <c r="R64" s="4" t="s">
        <v>17</v>
      </c>
      <c r="S64" s="4" t="s">
        <v>17</v>
      </c>
      <c r="T64" s="4" t="s">
        <v>17</v>
      </c>
      <c r="U64" s="5" t="s">
        <v>17</v>
      </c>
      <c r="V64" s="7"/>
      <c r="W64" s="6" t="s">
        <v>17</v>
      </c>
      <c r="X64" s="4" t="s">
        <v>17</v>
      </c>
      <c r="Y64" s="4" t="s">
        <v>17</v>
      </c>
      <c r="Z64" s="4" t="s">
        <v>17</v>
      </c>
      <c r="AA64" s="4" t="s">
        <v>17</v>
      </c>
      <c r="AB64" s="4" t="s">
        <v>17</v>
      </c>
      <c r="AC64" s="4" t="s">
        <v>17</v>
      </c>
      <c r="AD64" s="5" t="s">
        <v>17</v>
      </c>
      <c r="AE64" s="7"/>
      <c r="AF64" s="6" t="s">
        <v>3</v>
      </c>
      <c r="AG64" s="4">
        <v>0</v>
      </c>
      <c r="AH64" s="4" t="s">
        <v>3</v>
      </c>
      <c r="AI64" s="4">
        <v>1</v>
      </c>
      <c r="AJ64" s="4" t="s">
        <v>5</v>
      </c>
      <c r="AK64" s="4">
        <v>1</v>
      </c>
      <c r="AL64" s="4" t="s">
        <v>7</v>
      </c>
      <c r="AM64" s="5">
        <v>1</v>
      </c>
      <c r="AN64" s="7"/>
      <c r="AO64" s="6" t="s">
        <v>15</v>
      </c>
      <c r="AP64" s="4" t="s">
        <v>15</v>
      </c>
      <c r="AQ64" s="4" t="s">
        <v>15</v>
      </c>
      <c r="AR64" s="5" t="s">
        <v>13</v>
      </c>
      <c r="AT64" s="4" t="s">
        <v>17</v>
      </c>
      <c r="AU64" s="4" t="str">
        <f t="shared" si="0"/>
        <v>N</v>
      </c>
      <c r="AV64" s="4" t="s">
        <v>17</v>
      </c>
      <c r="AW64" s="4" t="str">
        <f t="shared" si="1"/>
        <v>N</v>
      </c>
      <c r="AX64" s="4" t="s">
        <v>17</v>
      </c>
      <c r="AY64" s="4" t="str">
        <f t="shared" si="2"/>
        <v>N</v>
      </c>
      <c r="AZ64" s="4" t="s">
        <v>17</v>
      </c>
      <c r="BA64" s="4" t="str">
        <f t="shared" si="3"/>
        <v>N</v>
      </c>
      <c r="BB64" s="4" t="s">
        <v>5</v>
      </c>
      <c r="BC64" s="4" t="str">
        <f t="shared" si="4"/>
        <v>Sim</v>
      </c>
      <c r="BD64" s="4" t="s">
        <v>17</v>
      </c>
      <c r="BE64" s="4" t="str">
        <f t="shared" si="5"/>
        <v>N</v>
      </c>
      <c r="BF64" s="4" t="s">
        <v>17</v>
      </c>
      <c r="BG64" s="4" t="str">
        <f t="shared" si="6"/>
        <v>N</v>
      </c>
      <c r="BH64" s="4" t="s">
        <v>17</v>
      </c>
      <c r="BI64" s="4" t="str">
        <f t="shared" si="7"/>
        <v>N</v>
      </c>
      <c r="BJ64" s="4" t="s">
        <v>17</v>
      </c>
      <c r="BK64" s="4" t="str">
        <f t="shared" si="8"/>
        <v>N</v>
      </c>
      <c r="BL64" s="4" t="s">
        <v>17</v>
      </c>
      <c r="BM64" s="4" t="str">
        <f t="shared" si="9"/>
        <v>N</v>
      </c>
      <c r="BN64" s="4" t="s">
        <v>5</v>
      </c>
      <c r="BO64" s="4" t="str">
        <f t="shared" si="10"/>
        <v>Sim</v>
      </c>
      <c r="BP64" s="4" t="s">
        <v>17</v>
      </c>
      <c r="BQ64" s="4" t="str">
        <f t="shared" si="11"/>
        <v>N</v>
      </c>
      <c r="BR64" s="4" t="s">
        <v>17</v>
      </c>
      <c r="BS64" s="4" t="str">
        <f t="shared" si="12"/>
        <v>N</v>
      </c>
      <c r="BT64" s="4" t="s">
        <v>17</v>
      </c>
      <c r="BU64" s="4" t="str">
        <f t="shared" si="13"/>
        <v>N</v>
      </c>
      <c r="BV64" s="4" t="s">
        <v>17</v>
      </c>
      <c r="BW64" s="4" t="str">
        <f t="shared" si="14"/>
        <v>N</v>
      </c>
      <c r="BX64" s="4" t="s">
        <v>17</v>
      </c>
      <c r="BY64" s="4" t="str">
        <f t="shared" si="15"/>
        <v>N</v>
      </c>
      <c r="BZ64" s="4" t="s">
        <v>17</v>
      </c>
      <c r="CA64" s="4" t="str">
        <f t="shared" si="16"/>
        <v>N</v>
      </c>
    </row>
    <row r="65" spans="2:79">
      <c r="B65" s="45" t="s">
        <v>77</v>
      </c>
      <c r="C65" s="44" t="s">
        <v>87</v>
      </c>
      <c r="D65" s="53" t="s">
        <v>142</v>
      </c>
      <c r="E65" s="6" t="s">
        <v>3</v>
      </c>
      <c r="F65" s="4">
        <v>0</v>
      </c>
      <c r="G65" s="4" t="s">
        <v>3</v>
      </c>
      <c r="H65" s="4">
        <v>0</v>
      </c>
      <c r="I65" s="4" t="s">
        <v>5</v>
      </c>
      <c r="J65" s="4">
        <v>0</v>
      </c>
      <c r="K65" s="4" t="s">
        <v>5</v>
      </c>
      <c r="L65" s="5">
        <v>1</v>
      </c>
      <c r="M65" s="7"/>
      <c r="N65" s="6" t="s">
        <v>3</v>
      </c>
      <c r="O65" s="4">
        <v>0</v>
      </c>
      <c r="P65" s="4" t="s">
        <v>3</v>
      </c>
      <c r="Q65" s="4">
        <v>0</v>
      </c>
      <c r="R65" s="4" t="s">
        <v>5</v>
      </c>
      <c r="S65" s="4">
        <v>0</v>
      </c>
      <c r="T65" s="4" t="s">
        <v>5</v>
      </c>
      <c r="U65" s="5">
        <v>1</v>
      </c>
      <c r="V65" s="7"/>
      <c r="W65" s="6" t="s">
        <v>17</v>
      </c>
      <c r="X65" s="4" t="s">
        <v>17</v>
      </c>
      <c r="Y65" s="4" t="s">
        <v>17</v>
      </c>
      <c r="Z65" s="4" t="s">
        <v>17</v>
      </c>
      <c r="AA65" s="4" t="s">
        <v>17</v>
      </c>
      <c r="AB65" s="4" t="s">
        <v>17</v>
      </c>
      <c r="AC65" s="4" t="s">
        <v>17</v>
      </c>
      <c r="AD65" s="5" t="s">
        <v>17</v>
      </c>
      <c r="AE65" s="7"/>
      <c r="AF65" s="6" t="s">
        <v>17</v>
      </c>
      <c r="AG65" s="4" t="s">
        <v>17</v>
      </c>
      <c r="AH65" s="4" t="s">
        <v>17</v>
      </c>
      <c r="AI65" s="4" t="s">
        <v>17</v>
      </c>
      <c r="AJ65" s="4" t="s">
        <v>3</v>
      </c>
      <c r="AK65" s="4">
        <v>1</v>
      </c>
      <c r="AL65" s="4" t="s">
        <v>5</v>
      </c>
      <c r="AM65" s="5">
        <v>1</v>
      </c>
      <c r="AN65" s="7"/>
      <c r="AO65" s="6" t="s">
        <v>13</v>
      </c>
      <c r="AP65" s="4" t="s">
        <v>13</v>
      </c>
      <c r="AQ65" s="4" t="s">
        <v>15</v>
      </c>
      <c r="AR65" s="5" t="s">
        <v>13</v>
      </c>
      <c r="AT65" s="4" t="s">
        <v>3</v>
      </c>
      <c r="AU65" s="4" t="str">
        <f t="shared" si="0"/>
        <v>Sim</v>
      </c>
      <c r="AV65" s="4" t="s">
        <v>5</v>
      </c>
      <c r="AW65" s="4" t="str">
        <f t="shared" si="1"/>
        <v>Sim</v>
      </c>
      <c r="AX65" s="4" t="s">
        <v>5</v>
      </c>
      <c r="AY65" s="4" t="str">
        <f t="shared" si="2"/>
        <v>Sim</v>
      </c>
      <c r="AZ65" s="4" t="s">
        <v>3</v>
      </c>
      <c r="BA65" s="4" t="str">
        <f t="shared" si="3"/>
        <v>Sim</v>
      </c>
      <c r="BB65" s="4" t="s">
        <v>5</v>
      </c>
      <c r="BC65" s="4" t="str">
        <f t="shared" si="4"/>
        <v>Sim</v>
      </c>
      <c r="BD65" s="4" t="s">
        <v>17</v>
      </c>
      <c r="BE65" s="4" t="str">
        <f t="shared" si="5"/>
        <v>N</v>
      </c>
      <c r="BF65" s="4" t="s">
        <v>17</v>
      </c>
      <c r="BG65" s="4" t="str">
        <f t="shared" si="6"/>
        <v>N</v>
      </c>
      <c r="BH65" s="4" t="s">
        <v>5</v>
      </c>
      <c r="BI65" s="4" t="str">
        <f t="shared" si="7"/>
        <v>Sim</v>
      </c>
      <c r="BJ65" s="4" t="s">
        <v>17</v>
      </c>
      <c r="BK65" s="4" t="str">
        <f t="shared" si="8"/>
        <v>N</v>
      </c>
      <c r="BL65" s="4" t="s">
        <v>17</v>
      </c>
      <c r="BM65" s="4" t="str">
        <f t="shared" si="9"/>
        <v>N</v>
      </c>
      <c r="BN65" s="4" t="s">
        <v>3</v>
      </c>
      <c r="BO65" s="4" t="str">
        <f t="shared" si="10"/>
        <v>Sim</v>
      </c>
      <c r="BP65" s="4" t="s">
        <v>5</v>
      </c>
      <c r="BQ65" s="4" t="str">
        <f t="shared" si="11"/>
        <v>Sim</v>
      </c>
      <c r="BR65" s="4" t="s">
        <v>5</v>
      </c>
      <c r="BS65" s="4" t="str">
        <f t="shared" si="12"/>
        <v>Sim</v>
      </c>
      <c r="BT65" s="4" t="s">
        <v>3</v>
      </c>
      <c r="BU65" s="4" t="str">
        <f t="shared" si="13"/>
        <v>Sim</v>
      </c>
      <c r="BV65" s="4" t="s">
        <v>5</v>
      </c>
      <c r="BW65" s="4" t="str">
        <f t="shared" si="14"/>
        <v>Sim</v>
      </c>
      <c r="BX65" s="4" t="s">
        <v>3</v>
      </c>
      <c r="BY65" s="4" t="str">
        <f t="shared" si="15"/>
        <v>Sim</v>
      </c>
      <c r="BZ65" s="4" t="s">
        <v>7</v>
      </c>
      <c r="CA65" s="4" t="str">
        <f t="shared" si="16"/>
        <v>Sim</v>
      </c>
    </row>
    <row r="66" spans="2:79">
      <c r="B66" s="46" t="s">
        <v>77</v>
      </c>
      <c r="C66" s="13" t="s">
        <v>57</v>
      </c>
      <c r="D66" s="54" t="s">
        <v>143</v>
      </c>
      <c r="E66" s="6" t="s">
        <v>17</v>
      </c>
      <c r="F66" s="4" t="s">
        <v>17</v>
      </c>
      <c r="G66" s="4" t="s">
        <v>17</v>
      </c>
      <c r="H66" s="4" t="s">
        <v>17</v>
      </c>
      <c r="I66" s="4" t="s">
        <v>17</v>
      </c>
      <c r="J66" s="4" t="s">
        <v>17</v>
      </c>
      <c r="K66" s="4" t="s">
        <v>17</v>
      </c>
      <c r="L66" s="5" t="s">
        <v>17</v>
      </c>
      <c r="M66" s="7"/>
      <c r="N66" s="6" t="s">
        <v>17</v>
      </c>
      <c r="O66" s="4" t="s">
        <v>17</v>
      </c>
      <c r="P66" s="4" t="s">
        <v>17</v>
      </c>
      <c r="Q66" s="4" t="s">
        <v>17</v>
      </c>
      <c r="R66" s="4" t="s">
        <v>17</v>
      </c>
      <c r="S66" s="4" t="s">
        <v>17</v>
      </c>
      <c r="T66" s="4" t="s">
        <v>17</v>
      </c>
      <c r="U66" s="5" t="s">
        <v>17</v>
      </c>
      <c r="V66" s="7"/>
      <c r="W66" s="6" t="s">
        <v>17</v>
      </c>
      <c r="X66" s="4" t="s">
        <v>17</v>
      </c>
      <c r="Y66" s="4" t="s">
        <v>17</v>
      </c>
      <c r="Z66" s="4" t="s">
        <v>17</v>
      </c>
      <c r="AA66" s="4" t="s">
        <v>17</v>
      </c>
      <c r="AB66" s="4" t="s">
        <v>17</v>
      </c>
      <c r="AC66" s="4" t="s">
        <v>17</v>
      </c>
      <c r="AD66" s="5" t="s">
        <v>17</v>
      </c>
      <c r="AE66" s="7"/>
      <c r="AF66" s="6" t="s">
        <v>17</v>
      </c>
      <c r="AG66" s="4" t="s">
        <v>17</v>
      </c>
      <c r="AH66" s="4" t="s">
        <v>17</v>
      </c>
      <c r="AI66" s="4" t="s">
        <v>17</v>
      </c>
      <c r="AJ66" s="4" t="s">
        <v>17</v>
      </c>
      <c r="AK66" s="4" t="s">
        <v>17</v>
      </c>
      <c r="AL66" s="4" t="s">
        <v>3</v>
      </c>
      <c r="AM66" s="5">
        <v>0</v>
      </c>
      <c r="AN66" s="7"/>
      <c r="AO66" s="6" t="s">
        <v>15</v>
      </c>
      <c r="AP66" s="4" t="s">
        <v>15</v>
      </c>
      <c r="AQ66" s="4" t="s">
        <v>15</v>
      </c>
      <c r="AR66" s="5" t="s">
        <v>13</v>
      </c>
      <c r="AT66" s="4" t="s">
        <v>17</v>
      </c>
      <c r="AU66" s="4" t="str">
        <f t="shared" si="0"/>
        <v>N</v>
      </c>
      <c r="AV66" s="4" t="s">
        <v>17</v>
      </c>
      <c r="AW66" s="4" t="str">
        <f t="shared" si="1"/>
        <v>N</v>
      </c>
      <c r="AX66" s="4" t="s">
        <v>17</v>
      </c>
      <c r="AY66" s="4" t="str">
        <f t="shared" si="2"/>
        <v>N</v>
      </c>
      <c r="AZ66" s="4" t="s">
        <v>17</v>
      </c>
      <c r="BA66" s="4" t="str">
        <f t="shared" si="3"/>
        <v>N</v>
      </c>
      <c r="BB66" s="4" t="s">
        <v>3</v>
      </c>
      <c r="BC66" s="4" t="str">
        <f t="shared" si="4"/>
        <v>N</v>
      </c>
      <c r="BD66" s="4" t="s">
        <v>17</v>
      </c>
      <c r="BE66" s="4" t="str">
        <f t="shared" si="5"/>
        <v>N</v>
      </c>
      <c r="BF66" s="4" t="s">
        <v>17</v>
      </c>
      <c r="BG66" s="4" t="str">
        <f t="shared" si="6"/>
        <v>N</v>
      </c>
      <c r="BH66" s="4" t="s">
        <v>17</v>
      </c>
      <c r="BI66" s="4" t="str">
        <f t="shared" si="7"/>
        <v>N</v>
      </c>
      <c r="BJ66" s="4" t="s">
        <v>17</v>
      </c>
      <c r="BK66" s="4" t="str">
        <f t="shared" si="8"/>
        <v>N</v>
      </c>
      <c r="BL66" s="4" t="s">
        <v>17</v>
      </c>
      <c r="BM66" s="4" t="str">
        <f t="shared" si="9"/>
        <v>N</v>
      </c>
      <c r="BN66" s="4" t="s">
        <v>1</v>
      </c>
      <c r="BO66" s="4" t="str">
        <f t="shared" si="10"/>
        <v>N</v>
      </c>
      <c r="BP66" s="4" t="s">
        <v>17</v>
      </c>
      <c r="BQ66" s="4" t="str">
        <f t="shared" si="11"/>
        <v>N</v>
      </c>
      <c r="BR66" s="4" t="s">
        <v>17</v>
      </c>
      <c r="BS66" s="4" t="str">
        <f t="shared" si="12"/>
        <v>N</v>
      </c>
      <c r="BT66" s="4" t="s">
        <v>17</v>
      </c>
      <c r="BU66" s="4" t="str">
        <f t="shared" si="13"/>
        <v>N</v>
      </c>
      <c r="BV66" s="4" t="s">
        <v>17</v>
      </c>
      <c r="BW66" s="4" t="str">
        <f t="shared" si="14"/>
        <v>N</v>
      </c>
      <c r="BX66" s="4" t="s">
        <v>17</v>
      </c>
      <c r="BY66" s="4" t="str">
        <f t="shared" si="15"/>
        <v>N</v>
      </c>
      <c r="BZ66" s="4" t="s">
        <v>17</v>
      </c>
      <c r="CA66" s="4" t="str">
        <f t="shared" si="16"/>
        <v>N</v>
      </c>
    </row>
    <row r="67" spans="2:79">
      <c r="B67" s="45" t="s">
        <v>77</v>
      </c>
      <c r="C67" s="44" t="s">
        <v>87</v>
      </c>
      <c r="D67" s="53" t="s">
        <v>144</v>
      </c>
      <c r="E67" s="6" t="s">
        <v>17</v>
      </c>
      <c r="F67" s="4" t="s">
        <v>17</v>
      </c>
      <c r="G67" s="4" t="s">
        <v>3</v>
      </c>
      <c r="H67" s="4">
        <v>0</v>
      </c>
      <c r="I67" s="4" t="s">
        <v>5</v>
      </c>
      <c r="J67" s="4">
        <v>0</v>
      </c>
      <c r="K67" s="4" t="s">
        <v>5</v>
      </c>
      <c r="L67" s="5">
        <v>0</v>
      </c>
      <c r="M67" s="7"/>
      <c r="N67" s="6" t="s">
        <v>17</v>
      </c>
      <c r="O67" s="4" t="s">
        <v>17</v>
      </c>
      <c r="P67" s="4" t="s">
        <v>17</v>
      </c>
      <c r="Q67" s="4" t="s">
        <v>17</v>
      </c>
      <c r="R67" s="4" t="s">
        <v>3</v>
      </c>
      <c r="S67" s="4">
        <v>0</v>
      </c>
      <c r="T67" s="4" t="s">
        <v>3</v>
      </c>
      <c r="U67" s="5">
        <v>0</v>
      </c>
      <c r="V67" s="7"/>
      <c r="W67" s="6" t="s">
        <v>17</v>
      </c>
      <c r="X67" s="4" t="s">
        <v>17</v>
      </c>
      <c r="Y67" s="4" t="s">
        <v>17</v>
      </c>
      <c r="Z67" s="4" t="s">
        <v>17</v>
      </c>
      <c r="AA67" s="4" t="s">
        <v>3</v>
      </c>
      <c r="AB67" s="4">
        <v>0</v>
      </c>
      <c r="AC67" s="4" t="s">
        <v>3</v>
      </c>
      <c r="AD67" s="5">
        <v>0</v>
      </c>
      <c r="AE67" s="7"/>
      <c r="AF67" s="6" t="s">
        <v>17</v>
      </c>
      <c r="AG67" s="4" t="s">
        <v>17</v>
      </c>
      <c r="AH67" s="4" t="s">
        <v>17</v>
      </c>
      <c r="AI67" s="4" t="s">
        <v>17</v>
      </c>
      <c r="AJ67" s="4" t="s">
        <v>3</v>
      </c>
      <c r="AK67" s="4">
        <v>1</v>
      </c>
      <c r="AL67" s="4" t="s">
        <v>5</v>
      </c>
      <c r="AM67" s="5">
        <v>1</v>
      </c>
      <c r="AN67" s="7"/>
      <c r="AO67" s="6" t="s">
        <v>13</v>
      </c>
      <c r="AP67" s="4" t="s">
        <v>13</v>
      </c>
      <c r="AQ67" s="4" t="s">
        <v>13</v>
      </c>
      <c r="AR67" s="5" t="s">
        <v>13</v>
      </c>
      <c r="AT67" s="4" t="s">
        <v>3</v>
      </c>
      <c r="AU67" s="4" t="str">
        <f t="shared" si="0"/>
        <v>N</v>
      </c>
      <c r="AV67" s="4" t="s">
        <v>3</v>
      </c>
      <c r="AW67" s="4" t="str">
        <f t="shared" si="1"/>
        <v>Sim</v>
      </c>
      <c r="AX67" s="4" t="s">
        <v>3</v>
      </c>
      <c r="AY67" s="4" t="str">
        <f t="shared" si="2"/>
        <v>Sim</v>
      </c>
      <c r="AZ67" s="4" t="s">
        <v>1</v>
      </c>
      <c r="BA67" s="4" t="str">
        <f t="shared" si="3"/>
        <v>Sim</v>
      </c>
      <c r="BB67" s="4" t="s">
        <v>5</v>
      </c>
      <c r="BC67" s="4" t="str">
        <f t="shared" si="4"/>
        <v>Sim</v>
      </c>
      <c r="BD67" s="4" t="s">
        <v>3</v>
      </c>
      <c r="BE67" s="4" t="str">
        <f t="shared" si="5"/>
        <v>Sim</v>
      </c>
      <c r="BF67" s="4" t="s">
        <v>1</v>
      </c>
      <c r="BG67" s="4" t="str">
        <f t="shared" si="6"/>
        <v>N</v>
      </c>
      <c r="BH67" s="4" t="s">
        <v>3</v>
      </c>
      <c r="BI67" s="4" t="str">
        <f t="shared" si="7"/>
        <v>Sim</v>
      </c>
      <c r="BJ67" s="4" t="s">
        <v>1</v>
      </c>
      <c r="BK67" s="4" t="str">
        <f t="shared" si="8"/>
        <v>N</v>
      </c>
      <c r="BL67" s="4" t="s">
        <v>1</v>
      </c>
      <c r="BM67" s="4" t="str">
        <f t="shared" si="9"/>
        <v>N</v>
      </c>
      <c r="BN67" s="4" t="s">
        <v>3</v>
      </c>
      <c r="BO67" s="4" t="str">
        <f t="shared" si="10"/>
        <v>Sim</v>
      </c>
      <c r="BP67" s="4" t="s">
        <v>3</v>
      </c>
      <c r="BQ67" s="4" t="str">
        <f t="shared" si="11"/>
        <v>Sim</v>
      </c>
      <c r="BR67" s="4" t="s">
        <v>3</v>
      </c>
      <c r="BS67" s="4" t="str">
        <f t="shared" si="12"/>
        <v>Sim</v>
      </c>
      <c r="BT67" s="4" t="s">
        <v>1</v>
      </c>
      <c r="BU67" s="4" t="str">
        <f t="shared" si="13"/>
        <v>Sim</v>
      </c>
      <c r="BV67" s="4" t="s">
        <v>1</v>
      </c>
      <c r="BW67" s="4" t="str">
        <f t="shared" si="14"/>
        <v>Sim</v>
      </c>
      <c r="BX67" s="4" t="s">
        <v>3</v>
      </c>
      <c r="BY67" s="4" t="str">
        <f t="shared" si="15"/>
        <v>N</v>
      </c>
      <c r="BZ67" s="4" t="s">
        <v>3</v>
      </c>
      <c r="CA67" s="4" t="str">
        <f t="shared" si="16"/>
        <v>Sim</v>
      </c>
    </row>
    <row r="68" spans="2:79">
      <c r="B68" s="46" t="s">
        <v>77</v>
      </c>
      <c r="C68" s="13" t="s">
        <v>57</v>
      </c>
      <c r="D68" s="54" t="s">
        <v>145</v>
      </c>
      <c r="E68" s="6" t="s">
        <v>17</v>
      </c>
      <c r="F68" s="4" t="s">
        <v>17</v>
      </c>
      <c r="G68" s="4" t="s">
        <v>17</v>
      </c>
      <c r="H68" s="4" t="s">
        <v>17</v>
      </c>
      <c r="I68" s="4" t="s">
        <v>17</v>
      </c>
      <c r="J68" s="4" t="s">
        <v>17</v>
      </c>
      <c r="K68" s="4" t="s">
        <v>17</v>
      </c>
      <c r="L68" s="5" t="s">
        <v>17</v>
      </c>
      <c r="M68" s="7"/>
      <c r="N68" s="6" t="s">
        <v>17</v>
      </c>
      <c r="O68" s="4" t="s">
        <v>17</v>
      </c>
      <c r="P68" s="4" t="s">
        <v>17</v>
      </c>
      <c r="Q68" s="4" t="s">
        <v>17</v>
      </c>
      <c r="R68" s="4" t="s">
        <v>17</v>
      </c>
      <c r="S68" s="4" t="s">
        <v>17</v>
      </c>
      <c r="T68" s="4" t="s">
        <v>17</v>
      </c>
      <c r="U68" s="5" t="s">
        <v>17</v>
      </c>
      <c r="V68" s="7"/>
      <c r="W68" s="6" t="s">
        <v>17</v>
      </c>
      <c r="X68" s="4" t="s">
        <v>17</v>
      </c>
      <c r="Y68" s="4" t="s">
        <v>17</v>
      </c>
      <c r="Z68" s="4" t="s">
        <v>17</v>
      </c>
      <c r="AA68" s="4" t="s">
        <v>17</v>
      </c>
      <c r="AB68" s="4" t="s">
        <v>17</v>
      </c>
      <c r="AC68" s="4" t="s">
        <v>17</v>
      </c>
      <c r="AD68" s="5" t="s">
        <v>17</v>
      </c>
      <c r="AE68" s="7"/>
      <c r="AF68" s="6" t="s">
        <v>17</v>
      </c>
      <c r="AG68" s="4" t="s">
        <v>17</v>
      </c>
      <c r="AH68" s="4" t="s">
        <v>17</v>
      </c>
      <c r="AI68" s="4" t="s">
        <v>17</v>
      </c>
      <c r="AJ68" s="4" t="s">
        <v>3</v>
      </c>
      <c r="AK68" s="4">
        <v>1</v>
      </c>
      <c r="AL68" s="4" t="s">
        <v>7</v>
      </c>
      <c r="AM68" s="5">
        <v>1</v>
      </c>
      <c r="AN68" s="7"/>
      <c r="AO68" s="6" t="s">
        <v>15</v>
      </c>
      <c r="AP68" s="4" t="s">
        <v>15</v>
      </c>
      <c r="AQ68" s="4" t="s">
        <v>15</v>
      </c>
      <c r="AR68" s="5" t="s">
        <v>13</v>
      </c>
      <c r="AT68" s="4" t="s">
        <v>17</v>
      </c>
      <c r="AU68" s="4" t="str">
        <f t="shared" ref="AU68:AU132" si="17">IF($P68="N", "N",
    IF($B68="Não", "Sim",
        IF(OR(
            AT68=$P68,
            AND($P68="B", OR(AT68="B", AT68="P", AT68="O")),
            AND($P68="P", OR(AT68="P", AT68="O")),
            AND($P68="O", AT68="O")), "Sim", "Não")
    )
)</f>
        <v>N</v>
      </c>
      <c r="AV68" s="4" t="s">
        <v>17</v>
      </c>
      <c r="AW68" s="4" t="str">
        <f t="shared" ref="AW68:AW132" si="18">IF($I68="N", "N",
    IF($B68="Não", "Sim",
        IF(OR(
            AV68=$I68,
            AND($I68="B", OR(AV68="B", AV68="P", AV68="O")),
            AND($I68="P", OR(AV68="P", AV68="O")),
            AND($I68="O", AV68="O")), "Sim", "Não")
    )
)</f>
        <v>N</v>
      </c>
      <c r="AX68" s="4" t="s">
        <v>17</v>
      </c>
      <c r="AY68" s="4" t="str">
        <f t="shared" ref="AY68:AY132" si="19">IF($R68="N", "N",
    IF($B68="Não", "Sim",
        IF(OR(
            AX68=$R68,
            AND($R68="B", OR(AX68="B", AX68="P", AX68="O")),
            AND($R68="P", OR(AX68="P", AX68="O")),
            AND($R68="O", AX68="O")), "Sim", "Não")
    )
)</f>
        <v>N</v>
      </c>
      <c r="AZ68" s="4" t="s">
        <v>17</v>
      </c>
      <c r="BA68" s="4" t="str">
        <f t="shared" ref="BA68:BA132" si="20">IF($I68="N", "N",
    IF($B68="Não", "Sim",
        IF(OR(
            AZ68=$I68,
            AND($I68="B", OR(AZ68="B", AZ68="P", AZ68="O")),
            AND($I68="P", OR(AZ68="P", AZ68="O")),
            AND($I68="O", AZ68="O")), "Sim", "Não")
    )
)</f>
        <v>N</v>
      </c>
      <c r="BB68" s="4" t="s">
        <v>5</v>
      </c>
      <c r="BC68" s="4" t="str">
        <f t="shared" ref="BC68:BC132" si="21">IF($AJ68="N", "N",
    IF($B68="Não", "Sim",
        IF(OR(
            BB68=$AJ68,
            AND($AJ68="B", OR(BB68="B", BB68="P", BB68="O")),
            AND($AJ68="P", OR(BB68="P", BB68="O")),
            AND($AJ68="O", BB68="O")), "Sim", "Não")
    )
)</f>
        <v>Sim</v>
      </c>
      <c r="BD68" s="4" t="s">
        <v>17</v>
      </c>
      <c r="BE68" s="4" t="str">
        <f t="shared" ref="BE68:BE132" si="22">IF($AC68="N", "N",
    IF($B68="Não", "Sim",
        IF(OR(
            BD68=$AC68,
            AND($AC68="B", OR(BD68="B", BD68="P", BD68="O")),
            AND($AC68="P", OR(BD68="P", BD68="O")),
            AND($AC68="O", BD68="O")), "Sim", "Não")
    )
)</f>
        <v>N</v>
      </c>
      <c r="BF68" s="4" t="s">
        <v>17</v>
      </c>
      <c r="BG68" s="4" t="str">
        <f t="shared" ref="BG68:BG132" si="23">IF($Y68="N", "N",
    IF($B68="Não", "Sim",
        IF(OR(
            BF68=$Y68,
            AND($Y68="B", OR(BF68="B", BF68="P", BF68="O")),
            AND($Y68="P", OR(BF68="P", BF68="O")),
            AND($Y68="O", BF68="O")), "Sim", "Não")
    )
)</f>
        <v>N</v>
      </c>
      <c r="BH68" s="4" t="s">
        <v>17</v>
      </c>
      <c r="BI68" s="4" t="str">
        <f t="shared" ref="BI68:BI132" si="24">IF($K68="N", "N",
    IF($B68="Não", "Sim",
        IF(OR(
            BH68=$K68,
            AND($K68="B", OR(BH68="B", BH68="P", BH68="O")),
            AND($K68="P", OR(BH68="P", BH68="O")),
            AND($K68="O", BH68="O")), "Sim", "Não")
    )
)</f>
        <v>N</v>
      </c>
      <c r="BJ68" s="4" t="s">
        <v>17</v>
      </c>
      <c r="BK68" s="4" t="str">
        <f t="shared" ref="BK68:BK132" si="25">IF($Y68="N", "N",
    IF($B68="Não", "Sim",
        IF(OR(
            BJ68=$Y68,
            AND($Y68="B", OR(BJ68="B", BJ68="P", BJ68="O")),
            AND($Y68="P", OR(BJ68="P", BJ68="O")),
            AND($Y68="O", BJ68="O")), "Sim", "Não")
    )
)</f>
        <v>N</v>
      </c>
      <c r="BL68" s="4" t="s">
        <v>17</v>
      </c>
      <c r="BM68" s="4" t="str">
        <f t="shared" ref="BM68:BM132" si="26">IF($Y68="N", "N",
    IF($B68="Não", "Sim",
        IF(OR(
            BL68=$Y68,
            AND($Y68="B", OR(BL68="B", BL68="P", BL68="O")),
            AND($Y68="P", OR(BL68="P", BL68="O")),
            AND($Y68="O", BL68="O")), "Sim", "Não")
    )
)</f>
        <v>N</v>
      </c>
      <c r="BN68" s="4" t="s">
        <v>3</v>
      </c>
      <c r="BO68" s="4" t="str">
        <f t="shared" ref="BO68:BO132" si="27">IF($AJ68="N", "N",
    IF($B68="Não", "Sim",
        IF(OR(
            BN68=$AJ68,
            AND($AJ68="B", OR(BN68="B", BN68="P", BN68="O")),
            AND($AJ68="P", OR(BN68="P", BN68="O")),
            AND($AJ68="O", BN68="O")), "Sim", "Não")
    )
)</f>
        <v>Sim</v>
      </c>
      <c r="BP68" s="4" t="s">
        <v>17</v>
      </c>
      <c r="BQ68" s="4" t="str">
        <f t="shared" ref="BQ68:BQ132" si="28">IF($T68="N", "N",
    IF($B68="Não", "Sim",
        IF(OR(
            BP68=$T68,
            AND($T68="B", OR(BP68="B", BP68="P", BP68="O")),
            AND($T68="P", OR(BP68="P", BP68="O")),
            AND($T68="O", BP68="O")), "Sim", "Não")
    )
)</f>
        <v>N</v>
      </c>
      <c r="BR68" s="4" t="s">
        <v>17</v>
      </c>
      <c r="BS68" s="4" t="str">
        <f t="shared" ref="BS68:BS132" si="29">IF($I68="N", "N",
    IF($B68="Não", "Sim",
        IF(OR(
            BR68=$I68,
            AND($I68="B", OR(BR68="B", BR68="P", BR68="O")),
            AND($I68="P", OR(BR68="P", BR68="O")),
            AND($I68="O", BR68="O")), "Sim", "Não")
    )
)</f>
        <v>N</v>
      </c>
      <c r="BT68" s="4" t="s">
        <v>17</v>
      </c>
      <c r="BU68" s="4" t="str">
        <f t="shared" ref="BU68:BU132" si="30">IF($G68="N", "N",
    IF($B68="Não", "Sim",
        IF(OR(
            BT68=$G68,
            AND($G68="B", OR(BT68="B", BT68="P", BT68="O")),
            AND($G68="P", OR(BT68="P", BT68="O")),
            AND($G68="O", BT68="O")), "Sim", "Não")
    )
)</f>
        <v>N</v>
      </c>
      <c r="BV68" s="4" t="s">
        <v>17</v>
      </c>
      <c r="BW68" s="4" t="str">
        <f t="shared" ref="BW68:BW132" si="31">IF($G68="N", "N",
    IF($B68="Não", "Sim",
        IF(OR(
            BV68=$G68,
            AND($G68="B", OR(BV68="B", BV68="P", BV68="O")),
            AND($G68="P", OR(BV68="P", BV68="O")),
            AND($G68="O", BV68="O")), "Sim", "Não")
    )
)</f>
        <v>N</v>
      </c>
      <c r="BX68" s="4" t="s">
        <v>17</v>
      </c>
      <c r="BY68" s="4" t="str">
        <f t="shared" ref="BY68:BY132" si="32">IF($P68="N", "N",
    IF($B68="Não", "Sim",
        IF(OR(
            BX68=$P68,
            AND($P68="B", OR(BX68="B", BX68="P", BX68="O")),
            AND($P68="P", OR(BX68="P", BX68="O")),
            AND($P68="O", BX68="O")), "Sim", "Não")
    )
)</f>
        <v>N</v>
      </c>
      <c r="BZ68" s="4" t="s">
        <v>17</v>
      </c>
      <c r="CA68" s="4" t="str">
        <f t="shared" ref="CA68:CA132" si="33">IF($G68="N", "N",
    IF($B68="Não", "Sim",
        IF(OR(
            BZ68=$G68,
            AND($G68="B", OR(BZ68="B", BZ68="P", BZ68="O")),
            AND($G68="P", OR(BZ68="P", BZ68="O")),
            AND($G68="O", BZ68="O")), "Sim", "Não")
    )
)</f>
        <v>N</v>
      </c>
    </row>
    <row r="69" spans="2:79">
      <c r="B69" s="45" t="s">
        <v>77</v>
      </c>
      <c r="C69" s="44" t="s">
        <v>57</v>
      </c>
      <c r="D69" s="53" t="s">
        <v>146</v>
      </c>
      <c r="E69" s="6" t="s">
        <v>17</v>
      </c>
      <c r="F69" s="4" t="s">
        <v>17</v>
      </c>
      <c r="G69" s="4" t="s">
        <v>17</v>
      </c>
      <c r="H69" s="4" t="s">
        <v>17</v>
      </c>
      <c r="I69" s="4" t="s">
        <v>17</v>
      </c>
      <c r="J69" s="4" t="s">
        <v>17</v>
      </c>
      <c r="K69" s="4" t="s">
        <v>17</v>
      </c>
      <c r="L69" s="5" t="s">
        <v>17</v>
      </c>
      <c r="M69" s="7"/>
      <c r="N69" s="6" t="s">
        <v>17</v>
      </c>
      <c r="O69" s="4" t="s">
        <v>17</v>
      </c>
      <c r="P69" s="4" t="s">
        <v>17</v>
      </c>
      <c r="Q69" s="4" t="s">
        <v>17</v>
      </c>
      <c r="R69" s="4" t="s">
        <v>17</v>
      </c>
      <c r="S69" s="4" t="s">
        <v>17</v>
      </c>
      <c r="T69" s="4" t="s">
        <v>17</v>
      </c>
      <c r="U69" s="5" t="s">
        <v>17</v>
      </c>
      <c r="V69" s="7"/>
      <c r="W69" s="6" t="s">
        <v>17</v>
      </c>
      <c r="X69" s="4" t="s">
        <v>17</v>
      </c>
      <c r="Y69" s="4" t="s">
        <v>17</v>
      </c>
      <c r="Z69" s="4" t="s">
        <v>17</v>
      </c>
      <c r="AA69" s="4" t="s">
        <v>17</v>
      </c>
      <c r="AB69" s="4" t="s">
        <v>17</v>
      </c>
      <c r="AC69" s="4" t="s">
        <v>17</v>
      </c>
      <c r="AD69" s="5" t="s">
        <v>17</v>
      </c>
      <c r="AE69" s="7"/>
      <c r="AF69" s="6" t="s">
        <v>3</v>
      </c>
      <c r="AG69" s="4">
        <v>0</v>
      </c>
      <c r="AH69" s="4" t="s">
        <v>3</v>
      </c>
      <c r="AI69" s="4">
        <v>1</v>
      </c>
      <c r="AJ69" s="4" t="s">
        <v>5</v>
      </c>
      <c r="AK69" s="4">
        <v>1</v>
      </c>
      <c r="AL69" s="4" t="s">
        <v>5</v>
      </c>
      <c r="AM69" s="5">
        <v>1</v>
      </c>
      <c r="AN69" s="7"/>
      <c r="AO69" s="6" t="s">
        <v>15</v>
      </c>
      <c r="AP69" s="4" t="s">
        <v>15</v>
      </c>
      <c r="AQ69" s="4" t="s">
        <v>15</v>
      </c>
      <c r="AR69" s="5" t="s">
        <v>13</v>
      </c>
      <c r="AT69" s="4" t="s">
        <v>17</v>
      </c>
      <c r="AU69" s="4" t="str">
        <f t="shared" si="17"/>
        <v>N</v>
      </c>
      <c r="AV69" s="4" t="s">
        <v>17</v>
      </c>
      <c r="AW69" s="4" t="str">
        <f t="shared" si="18"/>
        <v>N</v>
      </c>
      <c r="AX69" s="4" t="s">
        <v>17</v>
      </c>
      <c r="AY69" s="4" t="str">
        <f t="shared" si="19"/>
        <v>N</v>
      </c>
      <c r="AZ69" s="4" t="s">
        <v>17</v>
      </c>
      <c r="BA69" s="4" t="str">
        <f t="shared" si="20"/>
        <v>N</v>
      </c>
      <c r="BB69" s="4" t="s">
        <v>5</v>
      </c>
      <c r="BC69" s="4" t="str">
        <f t="shared" si="21"/>
        <v>Sim</v>
      </c>
      <c r="BD69" s="4" t="s">
        <v>17</v>
      </c>
      <c r="BE69" s="4" t="str">
        <f t="shared" si="22"/>
        <v>N</v>
      </c>
      <c r="BF69" s="4" t="s">
        <v>17</v>
      </c>
      <c r="BG69" s="4" t="str">
        <f t="shared" si="23"/>
        <v>N</v>
      </c>
      <c r="BH69" s="4" t="s">
        <v>17</v>
      </c>
      <c r="BI69" s="4" t="str">
        <f t="shared" si="24"/>
        <v>N</v>
      </c>
      <c r="BJ69" s="4" t="s">
        <v>17</v>
      </c>
      <c r="BK69" s="4" t="str">
        <f t="shared" si="25"/>
        <v>N</v>
      </c>
      <c r="BL69" s="4" t="s">
        <v>17</v>
      </c>
      <c r="BM69" s="4" t="str">
        <f t="shared" si="26"/>
        <v>N</v>
      </c>
      <c r="BN69" s="4" t="s">
        <v>5</v>
      </c>
      <c r="BO69" s="4" t="str">
        <f t="shared" si="27"/>
        <v>Sim</v>
      </c>
      <c r="BP69" s="4" t="s">
        <v>17</v>
      </c>
      <c r="BQ69" s="4" t="str">
        <f t="shared" si="28"/>
        <v>N</v>
      </c>
      <c r="BR69" s="4" t="s">
        <v>17</v>
      </c>
      <c r="BS69" s="4" t="str">
        <f t="shared" si="29"/>
        <v>N</v>
      </c>
      <c r="BT69" s="4" t="s">
        <v>17</v>
      </c>
      <c r="BU69" s="4" t="str">
        <f t="shared" si="30"/>
        <v>N</v>
      </c>
      <c r="BV69" s="4" t="s">
        <v>17</v>
      </c>
      <c r="BW69" s="4" t="str">
        <f t="shared" si="31"/>
        <v>N</v>
      </c>
      <c r="BX69" s="4" t="s">
        <v>17</v>
      </c>
      <c r="BY69" s="4" t="str">
        <f t="shared" si="32"/>
        <v>N</v>
      </c>
      <c r="BZ69" s="4" t="s">
        <v>17</v>
      </c>
      <c r="CA69" s="4" t="str">
        <f t="shared" si="33"/>
        <v>N</v>
      </c>
    </row>
    <row r="70" spans="2:79">
      <c r="B70" s="46" t="s">
        <v>77</v>
      </c>
      <c r="C70" s="13" t="s">
        <v>57</v>
      </c>
      <c r="D70" s="54" t="s">
        <v>147</v>
      </c>
      <c r="E70" s="6" t="s">
        <v>17</v>
      </c>
      <c r="F70" s="4" t="s">
        <v>17</v>
      </c>
      <c r="G70" s="4" t="s">
        <v>17</v>
      </c>
      <c r="H70" s="4" t="s">
        <v>17</v>
      </c>
      <c r="I70" s="4" t="s">
        <v>17</v>
      </c>
      <c r="J70" s="4" t="s">
        <v>17</v>
      </c>
      <c r="K70" s="4" t="s">
        <v>17</v>
      </c>
      <c r="L70" s="5" t="s">
        <v>17</v>
      </c>
      <c r="M70" s="7"/>
      <c r="N70" s="6" t="s">
        <v>17</v>
      </c>
      <c r="O70" s="4" t="s">
        <v>17</v>
      </c>
      <c r="P70" s="4" t="s">
        <v>17</v>
      </c>
      <c r="Q70" s="4" t="s">
        <v>17</v>
      </c>
      <c r="R70" s="4" t="s">
        <v>17</v>
      </c>
      <c r="S70" s="4" t="s">
        <v>17</v>
      </c>
      <c r="T70" s="4" t="s">
        <v>17</v>
      </c>
      <c r="U70" s="5" t="s">
        <v>17</v>
      </c>
      <c r="V70" s="7"/>
      <c r="W70" s="6" t="s">
        <v>17</v>
      </c>
      <c r="X70" s="4" t="s">
        <v>17</v>
      </c>
      <c r="Y70" s="4" t="s">
        <v>17</v>
      </c>
      <c r="Z70" s="4" t="s">
        <v>17</v>
      </c>
      <c r="AA70" s="4" t="s">
        <v>17</v>
      </c>
      <c r="AB70" s="4" t="s">
        <v>17</v>
      </c>
      <c r="AC70" s="4" t="s">
        <v>17</v>
      </c>
      <c r="AD70" s="5" t="s">
        <v>17</v>
      </c>
      <c r="AE70" s="7"/>
      <c r="AF70" s="6" t="s">
        <v>17</v>
      </c>
      <c r="AG70" s="4" t="s">
        <v>17</v>
      </c>
      <c r="AH70" s="4" t="s">
        <v>17</v>
      </c>
      <c r="AI70" s="4" t="s">
        <v>17</v>
      </c>
      <c r="AJ70" s="4" t="s">
        <v>3</v>
      </c>
      <c r="AK70" s="4">
        <v>0</v>
      </c>
      <c r="AL70" s="4" t="s">
        <v>3</v>
      </c>
      <c r="AM70" s="5">
        <v>0</v>
      </c>
      <c r="AN70" s="7"/>
      <c r="AO70" s="6" t="s">
        <v>15</v>
      </c>
      <c r="AP70" s="4" t="s">
        <v>15</v>
      </c>
      <c r="AQ70" s="4" t="s">
        <v>15</v>
      </c>
      <c r="AR70" s="5" t="s">
        <v>13</v>
      </c>
      <c r="AT70" s="4" t="s">
        <v>17</v>
      </c>
      <c r="AU70" s="4" t="str">
        <f t="shared" si="17"/>
        <v>N</v>
      </c>
      <c r="AV70" s="4" t="s">
        <v>17</v>
      </c>
      <c r="AW70" s="4" t="str">
        <f t="shared" si="18"/>
        <v>N</v>
      </c>
      <c r="AX70" s="4" t="s">
        <v>17</v>
      </c>
      <c r="AY70" s="4" t="str">
        <f t="shared" si="19"/>
        <v>N</v>
      </c>
      <c r="AZ70" s="4" t="s">
        <v>17</v>
      </c>
      <c r="BA70" s="4" t="str">
        <f t="shared" si="20"/>
        <v>N</v>
      </c>
      <c r="BB70" s="4" t="s">
        <v>5</v>
      </c>
      <c r="BC70" s="4" t="str">
        <f t="shared" si="21"/>
        <v>Sim</v>
      </c>
      <c r="BD70" s="4" t="s">
        <v>17</v>
      </c>
      <c r="BE70" s="4" t="str">
        <f t="shared" si="22"/>
        <v>N</v>
      </c>
      <c r="BF70" s="4" t="s">
        <v>17</v>
      </c>
      <c r="BG70" s="4" t="str">
        <f t="shared" si="23"/>
        <v>N</v>
      </c>
      <c r="BH70" s="4" t="s">
        <v>17</v>
      </c>
      <c r="BI70" s="4" t="str">
        <f t="shared" si="24"/>
        <v>N</v>
      </c>
      <c r="BJ70" s="4" t="s">
        <v>17</v>
      </c>
      <c r="BK70" s="4" t="str">
        <f t="shared" si="25"/>
        <v>N</v>
      </c>
      <c r="BL70" s="4" t="s">
        <v>17</v>
      </c>
      <c r="BM70" s="4" t="str">
        <f t="shared" si="26"/>
        <v>N</v>
      </c>
      <c r="BN70" s="4" t="s">
        <v>1</v>
      </c>
      <c r="BO70" s="4" t="str">
        <f t="shared" si="27"/>
        <v>Sim</v>
      </c>
      <c r="BP70" s="4" t="s">
        <v>17</v>
      </c>
      <c r="BQ70" s="4" t="str">
        <f t="shared" si="28"/>
        <v>N</v>
      </c>
      <c r="BR70" s="4" t="s">
        <v>17</v>
      </c>
      <c r="BS70" s="4" t="str">
        <f t="shared" si="29"/>
        <v>N</v>
      </c>
      <c r="BT70" s="4" t="s">
        <v>17</v>
      </c>
      <c r="BU70" s="4" t="str">
        <f t="shared" si="30"/>
        <v>N</v>
      </c>
      <c r="BV70" s="4" t="s">
        <v>17</v>
      </c>
      <c r="BW70" s="4" t="str">
        <f t="shared" si="31"/>
        <v>N</v>
      </c>
      <c r="BX70" s="4" t="s">
        <v>17</v>
      </c>
      <c r="BY70" s="4" t="str">
        <f t="shared" si="32"/>
        <v>N</v>
      </c>
      <c r="BZ70" s="4" t="s">
        <v>17</v>
      </c>
      <c r="CA70" s="4" t="str">
        <f t="shared" si="33"/>
        <v>N</v>
      </c>
    </row>
    <row r="71" spans="2:79">
      <c r="B71" s="45" t="s">
        <v>77</v>
      </c>
      <c r="C71" s="44" t="s">
        <v>87</v>
      </c>
      <c r="D71" s="53" t="s">
        <v>148</v>
      </c>
      <c r="E71" s="6" t="s">
        <v>17</v>
      </c>
      <c r="F71" s="4" t="s">
        <v>17</v>
      </c>
      <c r="G71" s="4" t="s">
        <v>17</v>
      </c>
      <c r="H71" s="4" t="s">
        <v>17</v>
      </c>
      <c r="I71" s="4" t="s">
        <v>3</v>
      </c>
      <c r="J71" s="4">
        <v>0</v>
      </c>
      <c r="K71" s="4" t="s">
        <v>5</v>
      </c>
      <c r="L71" s="5">
        <v>0</v>
      </c>
      <c r="M71" s="7"/>
      <c r="N71" s="6" t="s">
        <v>17</v>
      </c>
      <c r="O71" s="4" t="s">
        <v>17</v>
      </c>
      <c r="P71" s="4" t="s">
        <v>17</v>
      </c>
      <c r="Q71" s="4" t="s">
        <v>17</v>
      </c>
      <c r="R71" s="4" t="s">
        <v>17</v>
      </c>
      <c r="S71" s="4" t="s">
        <v>17</v>
      </c>
      <c r="T71" s="4" t="s">
        <v>17</v>
      </c>
      <c r="U71" s="5" t="s">
        <v>17</v>
      </c>
      <c r="V71" s="7"/>
      <c r="W71" s="6" t="s">
        <v>17</v>
      </c>
      <c r="X71" s="4" t="s">
        <v>17</v>
      </c>
      <c r="Y71" s="4" t="s">
        <v>17</v>
      </c>
      <c r="Z71" s="4" t="s">
        <v>17</v>
      </c>
      <c r="AA71" s="4" t="s">
        <v>17</v>
      </c>
      <c r="AB71" s="4" t="s">
        <v>17</v>
      </c>
      <c r="AC71" s="4" t="s">
        <v>17</v>
      </c>
      <c r="AD71" s="5" t="s">
        <v>17</v>
      </c>
      <c r="AE71" s="7"/>
      <c r="AF71" s="6" t="s">
        <v>3</v>
      </c>
      <c r="AG71" s="4">
        <v>0</v>
      </c>
      <c r="AH71" s="4" t="s">
        <v>3</v>
      </c>
      <c r="AI71" s="4">
        <v>0</v>
      </c>
      <c r="AJ71" s="4" t="s">
        <v>5</v>
      </c>
      <c r="AK71" s="4">
        <v>0</v>
      </c>
      <c r="AL71" s="4" t="s">
        <v>5</v>
      </c>
      <c r="AM71" s="5">
        <v>0</v>
      </c>
      <c r="AN71" s="7"/>
      <c r="AO71" s="6" t="s">
        <v>13</v>
      </c>
      <c r="AP71" s="4" t="s">
        <v>15</v>
      </c>
      <c r="AQ71" s="4" t="s">
        <v>15</v>
      </c>
      <c r="AR71" s="5" t="s">
        <v>13</v>
      </c>
      <c r="AT71" s="4" t="s">
        <v>17</v>
      </c>
      <c r="AU71" s="4" t="str">
        <f t="shared" si="17"/>
        <v>N</v>
      </c>
      <c r="AV71" s="4" t="s">
        <v>5</v>
      </c>
      <c r="AW71" s="4" t="str">
        <f t="shared" si="18"/>
        <v>Sim</v>
      </c>
      <c r="AX71" s="4" t="s">
        <v>17</v>
      </c>
      <c r="AY71" s="4" t="str">
        <f t="shared" si="19"/>
        <v>N</v>
      </c>
      <c r="AZ71" s="4" t="s">
        <v>3</v>
      </c>
      <c r="BA71" s="4" t="str">
        <f t="shared" si="20"/>
        <v>Sim</v>
      </c>
      <c r="BB71" s="4" t="s">
        <v>5</v>
      </c>
      <c r="BC71" s="4" t="str">
        <f t="shared" si="21"/>
        <v>Sim</v>
      </c>
      <c r="BD71" s="4" t="s">
        <v>17</v>
      </c>
      <c r="BE71" s="4" t="str">
        <f t="shared" si="22"/>
        <v>N</v>
      </c>
      <c r="BF71" s="4" t="s">
        <v>17</v>
      </c>
      <c r="BG71" s="4" t="str">
        <f t="shared" si="23"/>
        <v>N</v>
      </c>
      <c r="BH71" s="4" t="s">
        <v>5</v>
      </c>
      <c r="BI71" s="4" t="str">
        <f t="shared" si="24"/>
        <v>Sim</v>
      </c>
      <c r="BJ71" s="4" t="s">
        <v>17</v>
      </c>
      <c r="BK71" s="4" t="str">
        <f t="shared" si="25"/>
        <v>N</v>
      </c>
      <c r="BL71" s="4" t="s">
        <v>17</v>
      </c>
      <c r="BM71" s="4" t="str">
        <f t="shared" si="26"/>
        <v>N</v>
      </c>
      <c r="BN71" s="4" t="s">
        <v>5</v>
      </c>
      <c r="BO71" s="4" t="str">
        <f t="shared" si="27"/>
        <v>Sim</v>
      </c>
      <c r="BP71" s="4" t="s">
        <v>17</v>
      </c>
      <c r="BQ71" s="4" t="str">
        <f t="shared" si="28"/>
        <v>N</v>
      </c>
      <c r="BR71" s="4" t="s">
        <v>3</v>
      </c>
      <c r="BS71" s="4" t="str">
        <f t="shared" si="29"/>
        <v>Sim</v>
      </c>
      <c r="BT71" s="4" t="s">
        <v>3</v>
      </c>
      <c r="BU71" s="4" t="str">
        <f t="shared" si="30"/>
        <v>N</v>
      </c>
      <c r="BV71" s="4" t="s">
        <v>3</v>
      </c>
      <c r="BW71" s="4" t="str">
        <f t="shared" si="31"/>
        <v>N</v>
      </c>
      <c r="BX71" s="4" t="s">
        <v>17</v>
      </c>
      <c r="BY71" s="4" t="str">
        <f t="shared" si="32"/>
        <v>N</v>
      </c>
      <c r="BZ71" s="4" t="s">
        <v>17</v>
      </c>
      <c r="CA71" s="4" t="str">
        <f t="shared" si="33"/>
        <v>N</v>
      </c>
    </row>
    <row r="72" spans="2:79">
      <c r="B72" s="46" t="s">
        <v>77</v>
      </c>
      <c r="C72" s="13" t="s">
        <v>87</v>
      </c>
      <c r="D72" s="54" t="s">
        <v>149</v>
      </c>
      <c r="E72" s="6" t="s">
        <v>17</v>
      </c>
      <c r="F72" s="4" t="s">
        <v>17</v>
      </c>
      <c r="G72" s="4" t="s">
        <v>17</v>
      </c>
      <c r="H72" s="4" t="s">
        <v>17</v>
      </c>
      <c r="I72" s="4" t="s">
        <v>17</v>
      </c>
      <c r="J72" s="4" t="s">
        <v>17</v>
      </c>
      <c r="K72" s="4" t="s">
        <v>17</v>
      </c>
      <c r="L72" s="5" t="s">
        <v>17</v>
      </c>
      <c r="M72" s="7"/>
      <c r="N72" s="6" t="s">
        <v>3</v>
      </c>
      <c r="O72" s="4">
        <v>0</v>
      </c>
      <c r="P72" s="4" t="s">
        <v>3</v>
      </c>
      <c r="Q72" s="4">
        <v>0</v>
      </c>
      <c r="R72" s="4" t="s">
        <v>3</v>
      </c>
      <c r="S72" s="4">
        <v>0</v>
      </c>
      <c r="T72" s="4" t="s">
        <v>5</v>
      </c>
      <c r="U72" s="5">
        <v>1</v>
      </c>
      <c r="V72" s="7"/>
      <c r="W72" s="6" t="s">
        <v>17</v>
      </c>
      <c r="X72" s="4" t="s">
        <v>17</v>
      </c>
      <c r="Y72" s="4" t="s">
        <v>3</v>
      </c>
      <c r="Z72" s="4">
        <v>0</v>
      </c>
      <c r="AA72" s="4" t="s">
        <v>3</v>
      </c>
      <c r="AB72" s="4">
        <v>0</v>
      </c>
      <c r="AC72" s="4" t="s">
        <v>3</v>
      </c>
      <c r="AD72" s="5">
        <v>0</v>
      </c>
      <c r="AE72" s="7"/>
      <c r="AF72" s="6" t="s">
        <v>17</v>
      </c>
      <c r="AG72" s="4" t="s">
        <v>17</v>
      </c>
      <c r="AH72" s="4" t="s">
        <v>3</v>
      </c>
      <c r="AI72" s="4">
        <v>0</v>
      </c>
      <c r="AJ72" s="4" t="s">
        <v>3</v>
      </c>
      <c r="AK72" s="4">
        <v>0</v>
      </c>
      <c r="AL72" s="4" t="s">
        <v>3</v>
      </c>
      <c r="AM72" s="5">
        <v>0</v>
      </c>
      <c r="AN72" s="7"/>
      <c r="AO72" s="6" t="s">
        <v>15</v>
      </c>
      <c r="AP72" s="4" t="s">
        <v>13</v>
      </c>
      <c r="AQ72" s="4" t="s">
        <v>13</v>
      </c>
      <c r="AR72" s="5" t="s">
        <v>13</v>
      </c>
      <c r="AT72" s="4" t="s">
        <v>5</v>
      </c>
      <c r="AU72" s="4" t="str">
        <f t="shared" si="17"/>
        <v>Sim</v>
      </c>
      <c r="AV72" s="4" t="s">
        <v>17</v>
      </c>
      <c r="AW72" s="4" t="str">
        <f t="shared" si="18"/>
        <v>N</v>
      </c>
      <c r="AX72" s="4" t="s">
        <v>5</v>
      </c>
      <c r="AY72" s="4" t="str">
        <f t="shared" si="19"/>
        <v>Sim</v>
      </c>
      <c r="AZ72" s="4" t="s">
        <v>17</v>
      </c>
      <c r="BA72" s="4" t="str">
        <f t="shared" si="20"/>
        <v>N</v>
      </c>
      <c r="BB72" s="4" t="s">
        <v>5</v>
      </c>
      <c r="BC72" s="4" t="str">
        <f t="shared" si="21"/>
        <v>Sim</v>
      </c>
      <c r="BD72" s="4" t="s">
        <v>3</v>
      </c>
      <c r="BE72" s="4" t="str">
        <f t="shared" si="22"/>
        <v>Sim</v>
      </c>
      <c r="BF72" s="4" t="s">
        <v>3</v>
      </c>
      <c r="BG72" s="4" t="str">
        <f t="shared" si="23"/>
        <v>Sim</v>
      </c>
      <c r="BH72" s="4" t="s">
        <v>17</v>
      </c>
      <c r="BI72" s="4" t="str">
        <f t="shared" si="24"/>
        <v>N</v>
      </c>
      <c r="BJ72" s="4" t="s">
        <v>1</v>
      </c>
      <c r="BK72" s="4" t="str">
        <f t="shared" si="25"/>
        <v>Sim</v>
      </c>
      <c r="BL72" s="4" t="s">
        <v>1</v>
      </c>
      <c r="BM72" s="4" t="str">
        <f t="shared" si="26"/>
        <v>Sim</v>
      </c>
      <c r="BN72" s="4" t="s">
        <v>5</v>
      </c>
      <c r="BO72" s="4" t="str">
        <f t="shared" si="27"/>
        <v>Sim</v>
      </c>
      <c r="BP72" s="4" t="s">
        <v>5</v>
      </c>
      <c r="BQ72" s="4" t="str">
        <f t="shared" si="28"/>
        <v>Sim</v>
      </c>
      <c r="BR72" s="4" t="s">
        <v>17</v>
      </c>
      <c r="BS72" s="4" t="str">
        <f t="shared" si="29"/>
        <v>N</v>
      </c>
      <c r="BT72" s="4" t="s">
        <v>17</v>
      </c>
      <c r="BU72" s="4" t="str">
        <f t="shared" si="30"/>
        <v>N</v>
      </c>
      <c r="BV72" s="4" t="s">
        <v>17</v>
      </c>
      <c r="BW72" s="4" t="str">
        <f t="shared" si="31"/>
        <v>N</v>
      </c>
      <c r="BX72" s="4" t="s">
        <v>5</v>
      </c>
      <c r="BY72" s="4" t="str">
        <f t="shared" si="32"/>
        <v>Sim</v>
      </c>
      <c r="BZ72" s="4" t="s">
        <v>17</v>
      </c>
      <c r="CA72" s="4" t="str">
        <f t="shared" si="33"/>
        <v>N</v>
      </c>
    </row>
    <row r="73" spans="2:79">
      <c r="B73" s="45" t="s">
        <v>77</v>
      </c>
      <c r="C73" s="44" t="s">
        <v>57</v>
      </c>
      <c r="D73" s="53" t="s">
        <v>150</v>
      </c>
      <c r="E73" s="6" t="s">
        <v>17</v>
      </c>
      <c r="F73" s="4" t="s">
        <v>17</v>
      </c>
      <c r="G73" s="4" t="s">
        <v>17</v>
      </c>
      <c r="H73" s="4" t="s">
        <v>17</v>
      </c>
      <c r="I73" s="4" t="s">
        <v>17</v>
      </c>
      <c r="J73" s="4" t="s">
        <v>17</v>
      </c>
      <c r="K73" s="4" t="s">
        <v>17</v>
      </c>
      <c r="L73" s="5" t="s">
        <v>17</v>
      </c>
      <c r="M73" s="7"/>
      <c r="N73" s="6" t="s">
        <v>17</v>
      </c>
      <c r="O73" s="4" t="s">
        <v>17</v>
      </c>
      <c r="P73" s="4" t="s">
        <v>17</v>
      </c>
      <c r="Q73" s="4" t="s">
        <v>17</v>
      </c>
      <c r="R73" s="4" t="s">
        <v>17</v>
      </c>
      <c r="S73" s="4" t="s">
        <v>17</v>
      </c>
      <c r="T73" s="4" t="s">
        <v>17</v>
      </c>
      <c r="U73" s="5" t="s">
        <v>17</v>
      </c>
      <c r="V73" s="7"/>
      <c r="W73" s="6" t="s">
        <v>17</v>
      </c>
      <c r="X73" s="4" t="s">
        <v>17</v>
      </c>
      <c r="Y73" s="4" t="s">
        <v>17</v>
      </c>
      <c r="Z73" s="4" t="s">
        <v>17</v>
      </c>
      <c r="AA73" s="4" t="s">
        <v>17</v>
      </c>
      <c r="AB73" s="4" t="s">
        <v>17</v>
      </c>
      <c r="AC73" s="4" t="s">
        <v>17</v>
      </c>
      <c r="AD73" s="5" t="s">
        <v>17</v>
      </c>
      <c r="AE73" s="7"/>
      <c r="AF73" s="6" t="s">
        <v>3</v>
      </c>
      <c r="AG73" s="4">
        <v>0</v>
      </c>
      <c r="AH73" s="4" t="s">
        <v>3</v>
      </c>
      <c r="AI73" s="4">
        <v>0</v>
      </c>
      <c r="AJ73" s="4" t="s">
        <v>5</v>
      </c>
      <c r="AK73" s="4">
        <v>1</v>
      </c>
      <c r="AL73" s="4" t="s">
        <v>5</v>
      </c>
      <c r="AM73" s="5">
        <v>1</v>
      </c>
      <c r="AN73" s="7"/>
      <c r="AO73" s="6" t="s">
        <v>15</v>
      </c>
      <c r="AP73" s="4" t="s">
        <v>15</v>
      </c>
      <c r="AQ73" s="4" t="s">
        <v>15</v>
      </c>
      <c r="AR73" s="5" t="s">
        <v>13</v>
      </c>
      <c r="AT73" s="4" t="s">
        <v>17</v>
      </c>
      <c r="AU73" s="4" t="str">
        <f t="shared" si="17"/>
        <v>N</v>
      </c>
      <c r="AV73" s="4" t="s">
        <v>17</v>
      </c>
      <c r="AW73" s="4" t="str">
        <f t="shared" si="18"/>
        <v>N</v>
      </c>
      <c r="AX73" s="4" t="s">
        <v>17</v>
      </c>
      <c r="AY73" s="4" t="str">
        <f t="shared" si="19"/>
        <v>N</v>
      </c>
      <c r="AZ73" s="4" t="s">
        <v>17</v>
      </c>
      <c r="BA73" s="4" t="str">
        <f t="shared" si="20"/>
        <v>N</v>
      </c>
      <c r="BB73" s="4" t="s">
        <v>5</v>
      </c>
      <c r="BC73" s="4" t="str">
        <f t="shared" si="21"/>
        <v>Sim</v>
      </c>
      <c r="BD73" s="4" t="s">
        <v>17</v>
      </c>
      <c r="BE73" s="4" t="str">
        <f t="shared" si="22"/>
        <v>N</v>
      </c>
      <c r="BF73" s="4" t="s">
        <v>17</v>
      </c>
      <c r="BG73" s="4" t="str">
        <f t="shared" si="23"/>
        <v>N</v>
      </c>
      <c r="BH73" s="4" t="s">
        <v>17</v>
      </c>
      <c r="BI73" s="4" t="str">
        <f t="shared" si="24"/>
        <v>N</v>
      </c>
      <c r="BJ73" s="4" t="s">
        <v>17</v>
      </c>
      <c r="BK73" s="4" t="str">
        <f t="shared" si="25"/>
        <v>N</v>
      </c>
      <c r="BL73" s="4" t="s">
        <v>17</v>
      </c>
      <c r="BM73" s="4" t="str">
        <f t="shared" si="26"/>
        <v>N</v>
      </c>
      <c r="BN73" s="4" t="s">
        <v>5</v>
      </c>
      <c r="BO73" s="4" t="str">
        <f t="shared" si="27"/>
        <v>Sim</v>
      </c>
      <c r="BP73" s="4" t="s">
        <v>17</v>
      </c>
      <c r="BQ73" s="4" t="str">
        <f t="shared" si="28"/>
        <v>N</v>
      </c>
      <c r="BR73" s="4" t="s">
        <v>17</v>
      </c>
      <c r="BS73" s="4" t="str">
        <f t="shared" si="29"/>
        <v>N</v>
      </c>
      <c r="BT73" s="4" t="s">
        <v>17</v>
      </c>
      <c r="BU73" s="4" t="str">
        <f t="shared" si="30"/>
        <v>N</v>
      </c>
      <c r="BV73" s="4" t="s">
        <v>17</v>
      </c>
      <c r="BW73" s="4" t="str">
        <f t="shared" si="31"/>
        <v>N</v>
      </c>
      <c r="BX73" s="4" t="s">
        <v>17</v>
      </c>
      <c r="BY73" s="4" t="str">
        <f t="shared" si="32"/>
        <v>N</v>
      </c>
      <c r="BZ73" s="4" t="s">
        <v>17</v>
      </c>
      <c r="CA73" s="4" t="str">
        <f t="shared" si="33"/>
        <v>N</v>
      </c>
    </row>
    <row r="74" spans="2:79">
      <c r="B74" s="46" t="s">
        <v>77</v>
      </c>
      <c r="C74" s="13" t="s">
        <v>57</v>
      </c>
      <c r="D74" s="54" t="s">
        <v>151</v>
      </c>
      <c r="E74" s="6" t="s">
        <v>17</v>
      </c>
      <c r="F74" s="4" t="s">
        <v>17</v>
      </c>
      <c r="G74" s="4" t="s">
        <v>17</v>
      </c>
      <c r="H74" s="4" t="s">
        <v>17</v>
      </c>
      <c r="I74" s="4" t="s">
        <v>17</v>
      </c>
      <c r="J74" s="4" t="s">
        <v>17</v>
      </c>
      <c r="K74" s="4" t="s">
        <v>17</v>
      </c>
      <c r="L74" s="5" t="s">
        <v>17</v>
      </c>
      <c r="M74" s="7"/>
      <c r="N74" s="6" t="s">
        <v>17</v>
      </c>
      <c r="O74" s="4" t="s">
        <v>17</v>
      </c>
      <c r="P74" s="4" t="s">
        <v>17</v>
      </c>
      <c r="Q74" s="4" t="s">
        <v>17</v>
      </c>
      <c r="R74" s="4" t="s">
        <v>17</v>
      </c>
      <c r="S74" s="4" t="s">
        <v>17</v>
      </c>
      <c r="T74" s="4" t="s">
        <v>17</v>
      </c>
      <c r="U74" s="5" t="s">
        <v>17</v>
      </c>
      <c r="V74" s="7"/>
      <c r="W74" s="6" t="s">
        <v>17</v>
      </c>
      <c r="X74" s="4" t="s">
        <v>17</v>
      </c>
      <c r="Y74" s="4" t="s">
        <v>17</v>
      </c>
      <c r="Z74" s="4" t="s">
        <v>17</v>
      </c>
      <c r="AA74" s="4" t="s">
        <v>17</v>
      </c>
      <c r="AB74" s="4" t="s">
        <v>17</v>
      </c>
      <c r="AC74" s="4" t="s">
        <v>17</v>
      </c>
      <c r="AD74" s="5" t="s">
        <v>17</v>
      </c>
      <c r="AE74" s="7"/>
      <c r="AF74" s="6" t="s">
        <v>3</v>
      </c>
      <c r="AG74" s="4">
        <v>1</v>
      </c>
      <c r="AH74" s="4" t="s">
        <v>3</v>
      </c>
      <c r="AI74" s="4">
        <v>1</v>
      </c>
      <c r="AJ74" s="4" t="s">
        <v>5</v>
      </c>
      <c r="AK74" s="4">
        <v>1</v>
      </c>
      <c r="AL74" s="4" t="s">
        <v>7</v>
      </c>
      <c r="AM74" s="5">
        <v>1</v>
      </c>
      <c r="AN74" s="7"/>
      <c r="AO74" s="6" t="s">
        <v>15</v>
      </c>
      <c r="AP74" s="4" t="s">
        <v>15</v>
      </c>
      <c r="AQ74" s="4" t="s">
        <v>15</v>
      </c>
      <c r="AR74" s="5" t="s">
        <v>13</v>
      </c>
      <c r="AT74" s="4" t="s">
        <v>17</v>
      </c>
      <c r="AU74" s="4" t="str">
        <f t="shared" si="17"/>
        <v>N</v>
      </c>
      <c r="AV74" s="4" t="s">
        <v>17</v>
      </c>
      <c r="AW74" s="4" t="str">
        <f t="shared" si="18"/>
        <v>N</v>
      </c>
      <c r="AX74" s="4" t="s">
        <v>17</v>
      </c>
      <c r="AY74" s="4" t="str">
        <f t="shared" si="19"/>
        <v>N</v>
      </c>
      <c r="AZ74" s="4" t="s">
        <v>17</v>
      </c>
      <c r="BA74" s="4" t="str">
        <f t="shared" si="20"/>
        <v>N</v>
      </c>
      <c r="BB74" s="4" t="s">
        <v>5</v>
      </c>
      <c r="BC74" s="4" t="str">
        <f t="shared" si="21"/>
        <v>Sim</v>
      </c>
      <c r="BD74" s="4" t="s">
        <v>17</v>
      </c>
      <c r="BE74" s="4" t="str">
        <f t="shared" si="22"/>
        <v>N</v>
      </c>
      <c r="BF74" s="4" t="s">
        <v>17</v>
      </c>
      <c r="BG74" s="4" t="str">
        <f t="shared" si="23"/>
        <v>N</v>
      </c>
      <c r="BH74" s="4" t="s">
        <v>17</v>
      </c>
      <c r="BI74" s="4" t="str">
        <f t="shared" si="24"/>
        <v>N</v>
      </c>
      <c r="BJ74" s="4" t="s">
        <v>17</v>
      </c>
      <c r="BK74" s="4" t="str">
        <f t="shared" si="25"/>
        <v>N</v>
      </c>
      <c r="BL74" s="4" t="s">
        <v>17</v>
      </c>
      <c r="BM74" s="4" t="str">
        <f t="shared" si="26"/>
        <v>N</v>
      </c>
      <c r="BN74" s="4" t="s">
        <v>5</v>
      </c>
      <c r="BO74" s="4" t="str">
        <f t="shared" si="27"/>
        <v>Sim</v>
      </c>
      <c r="BP74" s="4" t="s">
        <v>17</v>
      </c>
      <c r="BQ74" s="4" t="str">
        <f t="shared" si="28"/>
        <v>N</v>
      </c>
      <c r="BR74" s="4" t="s">
        <v>17</v>
      </c>
      <c r="BS74" s="4" t="str">
        <f t="shared" si="29"/>
        <v>N</v>
      </c>
      <c r="BT74" s="4" t="s">
        <v>17</v>
      </c>
      <c r="BU74" s="4" t="str">
        <f t="shared" si="30"/>
        <v>N</v>
      </c>
      <c r="BV74" s="4" t="s">
        <v>17</v>
      </c>
      <c r="BW74" s="4" t="str">
        <f t="shared" si="31"/>
        <v>N</v>
      </c>
      <c r="BX74" s="4" t="s">
        <v>17</v>
      </c>
      <c r="BY74" s="4" t="str">
        <f t="shared" si="32"/>
        <v>N</v>
      </c>
      <c r="BZ74" s="4" t="s">
        <v>17</v>
      </c>
      <c r="CA74" s="4" t="str">
        <f t="shared" si="33"/>
        <v>N</v>
      </c>
    </row>
    <row r="75" spans="2:79">
      <c r="B75" s="45" t="s">
        <v>77</v>
      </c>
      <c r="C75" s="44" t="s">
        <v>57</v>
      </c>
      <c r="D75" s="53" t="s">
        <v>152</v>
      </c>
      <c r="E75" s="6" t="s">
        <v>17</v>
      </c>
      <c r="F75" s="4" t="s">
        <v>17</v>
      </c>
      <c r="G75" s="4" t="s">
        <v>17</v>
      </c>
      <c r="H75" s="4" t="s">
        <v>17</v>
      </c>
      <c r="I75" s="4" t="s">
        <v>17</v>
      </c>
      <c r="J75" s="4" t="s">
        <v>17</v>
      </c>
      <c r="K75" s="4" t="s">
        <v>17</v>
      </c>
      <c r="L75" s="5" t="s">
        <v>17</v>
      </c>
      <c r="M75" s="7"/>
      <c r="N75" s="6" t="s">
        <v>17</v>
      </c>
      <c r="O75" s="4" t="s">
        <v>17</v>
      </c>
      <c r="P75" s="4" t="s">
        <v>17</v>
      </c>
      <c r="Q75" s="4" t="s">
        <v>17</v>
      </c>
      <c r="R75" s="4" t="s">
        <v>17</v>
      </c>
      <c r="S75" s="4" t="s">
        <v>17</v>
      </c>
      <c r="T75" s="4" t="s">
        <v>17</v>
      </c>
      <c r="U75" s="5" t="s">
        <v>17</v>
      </c>
      <c r="V75" s="7"/>
      <c r="W75" s="6" t="s">
        <v>17</v>
      </c>
      <c r="X75" s="4" t="s">
        <v>17</v>
      </c>
      <c r="Y75" s="4" t="s">
        <v>17</v>
      </c>
      <c r="Z75" s="4" t="s">
        <v>17</v>
      </c>
      <c r="AA75" s="4" t="s">
        <v>17</v>
      </c>
      <c r="AB75" s="4" t="s">
        <v>17</v>
      </c>
      <c r="AC75" s="4" t="s">
        <v>17</v>
      </c>
      <c r="AD75" s="5" t="s">
        <v>17</v>
      </c>
      <c r="AE75" s="7"/>
      <c r="AF75" s="6" t="s">
        <v>17</v>
      </c>
      <c r="AG75" s="4" t="s">
        <v>17</v>
      </c>
      <c r="AH75" s="4" t="s">
        <v>17</v>
      </c>
      <c r="AI75" s="4" t="s">
        <v>17</v>
      </c>
      <c r="AJ75" s="4" t="s">
        <v>3</v>
      </c>
      <c r="AK75" s="4">
        <v>0</v>
      </c>
      <c r="AL75" s="4" t="s">
        <v>5</v>
      </c>
      <c r="AM75" s="5">
        <v>0</v>
      </c>
      <c r="AN75" s="7"/>
      <c r="AO75" s="6" t="s">
        <v>15</v>
      </c>
      <c r="AP75" s="4" t="s">
        <v>15</v>
      </c>
      <c r="AQ75" s="4" t="s">
        <v>15</v>
      </c>
      <c r="AR75" s="5" t="s">
        <v>13</v>
      </c>
      <c r="AT75" s="4" t="s">
        <v>17</v>
      </c>
      <c r="AU75" s="4" t="str">
        <f t="shared" si="17"/>
        <v>N</v>
      </c>
      <c r="AV75" s="4" t="s">
        <v>17</v>
      </c>
      <c r="AW75" s="4" t="str">
        <f t="shared" si="18"/>
        <v>N</v>
      </c>
      <c r="AX75" s="4" t="s">
        <v>17</v>
      </c>
      <c r="AY75" s="4" t="str">
        <f t="shared" si="19"/>
        <v>N</v>
      </c>
      <c r="AZ75" s="4" t="s">
        <v>17</v>
      </c>
      <c r="BA75" s="4" t="str">
        <f t="shared" si="20"/>
        <v>N</v>
      </c>
      <c r="BB75" s="4" t="s">
        <v>5</v>
      </c>
      <c r="BC75" s="4" t="str">
        <f t="shared" si="21"/>
        <v>Sim</v>
      </c>
      <c r="BD75" s="4" t="s">
        <v>17</v>
      </c>
      <c r="BE75" s="4" t="str">
        <f t="shared" si="22"/>
        <v>N</v>
      </c>
      <c r="BF75" s="4" t="s">
        <v>17</v>
      </c>
      <c r="BG75" s="4" t="str">
        <f t="shared" si="23"/>
        <v>N</v>
      </c>
      <c r="BH75" s="4" t="s">
        <v>17</v>
      </c>
      <c r="BI75" s="4" t="str">
        <f t="shared" si="24"/>
        <v>N</v>
      </c>
      <c r="BJ75" s="4" t="s">
        <v>17</v>
      </c>
      <c r="BK75" s="4" t="str">
        <f t="shared" si="25"/>
        <v>N</v>
      </c>
      <c r="BL75" s="4" t="s">
        <v>17</v>
      </c>
      <c r="BM75" s="4" t="str">
        <f t="shared" si="26"/>
        <v>N</v>
      </c>
      <c r="BN75" s="4" t="s">
        <v>7</v>
      </c>
      <c r="BO75" s="4" t="str">
        <f t="shared" si="27"/>
        <v>Sim</v>
      </c>
      <c r="BP75" s="4" t="s">
        <v>17</v>
      </c>
      <c r="BQ75" s="4" t="str">
        <f t="shared" si="28"/>
        <v>N</v>
      </c>
      <c r="BR75" s="4" t="s">
        <v>17</v>
      </c>
      <c r="BS75" s="4" t="str">
        <f t="shared" si="29"/>
        <v>N</v>
      </c>
      <c r="BT75" s="4" t="s">
        <v>17</v>
      </c>
      <c r="BU75" s="4" t="str">
        <f t="shared" si="30"/>
        <v>N</v>
      </c>
      <c r="BV75" s="4" t="s">
        <v>17</v>
      </c>
      <c r="BW75" s="4" t="str">
        <f t="shared" si="31"/>
        <v>N</v>
      </c>
      <c r="BX75" s="4" t="s">
        <v>17</v>
      </c>
      <c r="BY75" s="4" t="str">
        <f t="shared" si="32"/>
        <v>N</v>
      </c>
      <c r="BZ75" s="4" t="s">
        <v>17</v>
      </c>
      <c r="CA75" s="4" t="str">
        <f t="shared" si="33"/>
        <v>N</v>
      </c>
    </row>
    <row r="76" spans="2:79">
      <c r="B76" s="46" t="s">
        <v>77</v>
      </c>
      <c r="C76" s="13" t="s">
        <v>57</v>
      </c>
      <c r="D76" s="54" t="s">
        <v>153</v>
      </c>
      <c r="E76" s="6" t="s">
        <v>17</v>
      </c>
      <c r="F76" s="4" t="s">
        <v>17</v>
      </c>
      <c r="G76" s="4" t="s">
        <v>17</v>
      </c>
      <c r="H76" s="4" t="s">
        <v>17</v>
      </c>
      <c r="I76" s="4" t="s">
        <v>17</v>
      </c>
      <c r="J76" s="4" t="s">
        <v>17</v>
      </c>
      <c r="K76" s="4" t="s">
        <v>17</v>
      </c>
      <c r="L76" s="5" t="s">
        <v>17</v>
      </c>
      <c r="M76" s="7"/>
      <c r="N76" s="6" t="s">
        <v>17</v>
      </c>
      <c r="O76" s="4" t="s">
        <v>17</v>
      </c>
      <c r="P76" s="4" t="s">
        <v>17</v>
      </c>
      <c r="Q76" s="4" t="s">
        <v>17</v>
      </c>
      <c r="R76" s="4" t="s">
        <v>17</v>
      </c>
      <c r="S76" s="4" t="s">
        <v>17</v>
      </c>
      <c r="T76" s="4" t="s">
        <v>17</v>
      </c>
      <c r="U76" s="5" t="s">
        <v>17</v>
      </c>
      <c r="V76" s="7"/>
      <c r="W76" s="6" t="s">
        <v>17</v>
      </c>
      <c r="X76" s="4" t="s">
        <v>17</v>
      </c>
      <c r="Y76" s="4" t="s">
        <v>17</v>
      </c>
      <c r="Z76" s="4" t="s">
        <v>17</v>
      </c>
      <c r="AA76" s="4" t="s">
        <v>17</v>
      </c>
      <c r="AB76" s="4" t="s">
        <v>17</v>
      </c>
      <c r="AC76" s="4" t="s">
        <v>17</v>
      </c>
      <c r="AD76" s="5" t="s">
        <v>17</v>
      </c>
      <c r="AE76" s="7"/>
      <c r="AF76" s="6" t="s">
        <v>3</v>
      </c>
      <c r="AG76" s="4">
        <v>0</v>
      </c>
      <c r="AH76" s="4" t="s">
        <v>3</v>
      </c>
      <c r="AI76" s="4">
        <v>1</v>
      </c>
      <c r="AJ76" s="4" t="s">
        <v>5</v>
      </c>
      <c r="AK76" s="4">
        <v>1</v>
      </c>
      <c r="AL76" s="4" t="s">
        <v>7</v>
      </c>
      <c r="AM76" s="5">
        <v>1</v>
      </c>
      <c r="AN76" s="7"/>
      <c r="AO76" s="6" t="s">
        <v>15</v>
      </c>
      <c r="AP76" s="4" t="s">
        <v>15</v>
      </c>
      <c r="AQ76" s="4" t="s">
        <v>15</v>
      </c>
      <c r="AR76" s="5" t="s">
        <v>13</v>
      </c>
      <c r="AT76" s="4" t="s">
        <v>17</v>
      </c>
      <c r="AU76" s="4" t="str">
        <f t="shared" si="17"/>
        <v>N</v>
      </c>
      <c r="AV76" s="4" t="s">
        <v>17</v>
      </c>
      <c r="AW76" s="4" t="str">
        <f t="shared" si="18"/>
        <v>N</v>
      </c>
      <c r="AX76" s="4" t="s">
        <v>17</v>
      </c>
      <c r="AY76" s="4" t="str">
        <f t="shared" si="19"/>
        <v>N</v>
      </c>
      <c r="AZ76" s="4" t="s">
        <v>17</v>
      </c>
      <c r="BA76" s="4" t="str">
        <f t="shared" si="20"/>
        <v>N</v>
      </c>
      <c r="BB76" s="4" t="s">
        <v>5</v>
      </c>
      <c r="BC76" s="4" t="str">
        <f t="shared" si="21"/>
        <v>Sim</v>
      </c>
      <c r="BD76" s="4" t="s">
        <v>17</v>
      </c>
      <c r="BE76" s="4" t="str">
        <f t="shared" si="22"/>
        <v>N</v>
      </c>
      <c r="BF76" s="4" t="s">
        <v>17</v>
      </c>
      <c r="BG76" s="4" t="str">
        <f t="shared" si="23"/>
        <v>N</v>
      </c>
      <c r="BH76" s="4" t="s">
        <v>17</v>
      </c>
      <c r="BI76" s="4" t="str">
        <f t="shared" si="24"/>
        <v>N</v>
      </c>
      <c r="BJ76" s="4" t="s">
        <v>17</v>
      </c>
      <c r="BK76" s="4" t="str">
        <f t="shared" si="25"/>
        <v>N</v>
      </c>
      <c r="BL76" s="4" t="s">
        <v>17</v>
      </c>
      <c r="BM76" s="4" t="str">
        <f t="shared" si="26"/>
        <v>N</v>
      </c>
      <c r="BN76" s="4" t="s">
        <v>5</v>
      </c>
      <c r="BO76" s="4" t="str">
        <f t="shared" si="27"/>
        <v>Sim</v>
      </c>
      <c r="BP76" s="4" t="s">
        <v>17</v>
      </c>
      <c r="BQ76" s="4" t="str">
        <f t="shared" si="28"/>
        <v>N</v>
      </c>
      <c r="BR76" s="4" t="s">
        <v>17</v>
      </c>
      <c r="BS76" s="4" t="str">
        <f t="shared" si="29"/>
        <v>N</v>
      </c>
      <c r="BT76" s="4" t="s">
        <v>17</v>
      </c>
      <c r="BU76" s="4" t="str">
        <f t="shared" si="30"/>
        <v>N</v>
      </c>
      <c r="BV76" s="4" t="s">
        <v>17</v>
      </c>
      <c r="BW76" s="4" t="str">
        <f t="shared" si="31"/>
        <v>N</v>
      </c>
      <c r="BX76" s="4" t="s">
        <v>17</v>
      </c>
      <c r="BY76" s="4" t="str">
        <f t="shared" si="32"/>
        <v>N</v>
      </c>
      <c r="BZ76" s="4" t="s">
        <v>17</v>
      </c>
      <c r="CA76" s="4" t="str">
        <f t="shared" si="33"/>
        <v>N</v>
      </c>
    </row>
    <row r="77" spans="2:79">
      <c r="B77" s="45" t="s">
        <v>77</v>
      </c>
      <c r="C77" s="44" t="s">
        <v>87</v>
      </c>
      <c r="D77" s="53" t="s">
        <v>154</v>
      </c>
      <c r="E77" s="6" t="s">
        <v>3</v>
      </c>
      <c r="F77" s="4">
        <v>0</v>
      </c>
      <c r="G77" s="4" t="s">
        <v>3</v>
      </c>
      <c r="H77" s="4">
        <v>0</v>
      </c>
      <c r="I77" s="4" t="s">
        <v>3</v>
      </c>
      <c r="J77" s="4">
        <v>0</v>
      </c>
      <c r="K77" s="4" t="s">
        <v>3</v>
      </c>
      <c r="L77" s="5">
        <v>0</v>
      </c>
      <c r="M77" s="7"/>
      <c r="N77" s="6" t="s">
        <v>3</v>
      </c>
      <c r="O77" s="4">
        <v>0</v>
      </c>
      <c r="P77" s="4" t="s">
        <v>3</v>
      </c>
      <c r="Q77" s="4">
        <v>0</v>
      </c>
      <c r="R77" s="4" t="s">
        <v>3</v>
      </c>
      <c r="S77" s="4">
        <v>0</v>
      </c>
      <c r="T77" s="4" t="s">
        <v>3</v>
      </c>
      <c r="U77" s="5">
        <v>0</v>
      </c>
      <c r="V77" s="7"/>
      <c r="W77" s="6" t="s">
        <v>3</v>
      </c>
      <c r="X77" s="4">
        <v>0</v>
      </c>
      <c r="Y77" s="4" t="s">
        <v>3</v>
      </c>
      <c r="Z77" s="4">
        <v>0</v>
      </c>
      <c r="AA77" s="4" t="s">
        <v>3</v>
      </c>
      <c r="AB77" s="4">
        <v>0</v>
      </c>
      <c r="AC77" s="4" t="s">
        <v>3</v>
      </c>
      <c r="AD77" s="5">
        <v>0</v>
      </c>
      <c r="AE77" s="7"/>
      <c r="AF77" s="6" t="s">
        <v>3</v>
      </c>
      <c r="AG77" s="4">
        <v>0</v>
      </c>
      <c r="AH77" s="4" t="s">
        <v>3</v>
      </c>
      <c r="AI77" s="4">
        <v>0</v>
      </c>
      <c r="AJ77" s="4" t="s">
        <v>3</v>
      </c>
      <c r="AK77" s="4">
        <v>0</v>
      </c>
      <c r="AL77" s="4" t="s">
        <v>3</v>
      </c>
      <c r="AM77" s="5">
        <v>0</v>
      </c>
      <c r="AN77" s="7"/>
      <c r="AO77" s="6" t="s">
        <v>13</v>
      </c>
      <c r="AP77" s="4" t="s">
        <v>13</v>
      </c>
      <c r="AQ77" s="4" t="s">
        <v>13</v>
      </c>
      <c r="AR77" s="5" t="s">
        <v>13</v>
      </c>
      <c r="AT77" s="4" t="s">
        <v>3</v>
      </c>
      <c r="AU77" s="4" t="str">
        <f t="shared" si="17"/>
        <v>Sim</v>
      </c>
      <c r="AV77" s="4" t="s">
        <v>3</v>
      </c>
      <c r="AW77" s="4" t="str">
        <f t="shared" si="18"/>
        <v>Sim</v>
      </c>
      <c r="AX77" s="4" t="s">
        <v>3</v>
      </c>
      <c r="AY77" s="4" t="str">
        <f t="shared" si="19"/>
        <v>Sim</v>
      </c>
      <c r="AZ77" s="4" t="s">
        <v>5</v>
      </c>
      <c r="BA77" s="4" t="str">
        <f t="shared" si="20"/>
        <v>Sim</v>
      </c>
      <c r="BB77" s="4" t="s">
        <v>3</v>
      </c>
      <c r="BC77" s="4" t="str">
        <f t="shared" si="21"/>
        <v>Sim</v>
      </c>
      <c r="BD77" s="4" t="s">
        <v>3</v>
      </c>
      <c r="BE77" s="4" t="str">
        <f t="shared" si="22"/>
        <v>Sim</v>
      </c>
      <c r="BF77" s="4" t="s">
        <v>3</v>
      </c>
      <c r="BG77" s="4" t="str">
        <f t="shared" si="23"/>
        <v>Sim</v>
      </c>
      <c r="BH77" s="4" t="s">
        <v>3</v>
      </c>
      <c r="BI77" s="4" t="str">
        <f t="shared" si="24"/>
        <v>Sim</v>
      </c>
      <c r="BJ77" s="4" t="s">
        <v>3</v>
      </c>
      <c r="BK77" s="4" t="str">
        <f t="shared" si="25"/>
        <v>Sim</v>
      </c>
      <c r="BL77" s="4" t="s">
        <v>3</v>
      </c>
      <c r="BM77" s="4" t="str">
        <f t="shared" si="26"/>
        <v>Sim</v>
      </c>
      <c r="BN77" s="4" t="s">
        <v>3</v>
      </c>
      <c r="BO77" s="4" t="str">
        <f t="shared" si="27"/>
        <v>Sim</v>
      </c>
      <c r="BP77" s="4" t="s">
        <v>3</v>
      </c>
      <c r="BQ77" s="4" t="str">
        <f t="shared" si="28"/>
        <v>Sim</v>
      </c>
      <c r="BR77" s="4" t="s">
        <v>3</v>
      </c>
      <c r="BS77" s="4" t="str">
        <f t="shared" si="29"/>
        <v>Sim</v>
      </c>
      <c r="BT77" s="4" t="s">
        <v>3</v>
      </c>
      <c r="BU77" s="4" t="str">
        <f t="shared" si="30"/>
        <v>Sim</v>
      </c>
      <c r="BV77" s="4" t="s">
        <v>3</v>
      </c>
      <c r="BW77" s="4" t="str">
        <f t="shared" si="31"/>
        <v>Sim</v>
      </c>
      <c r="BX77" s="4" t="s">
        <v>3</v>
      </c>
      <c r="BY77" s="4" t="str">
        <f t="shared" si="32"/>
        <v>Sim</v>
      </c>
      <c r="BZ77" s="4" t="s">
        <v>5</v>
      </c>
      <c r="CA77" s="4" t="str">
        <f t="shared" si="33"/>
        <v>Sim</v>
      </c>
    </row>
    <row r="78" spans="2:79">
      <c r="B78" s="46" t="s">
        <v>77</v>
      </c>
      <c r="C78" s="13" t="s">
        <v>87</v>
      </c>
      <c r="D78" s="54" t="s">
        <v>155</v>
      </c>
      <c r="E78" s="6" t="s">
        <v>3</v>
      </c>
      <c r="F78" s="4">
        <v>0</v>
      </c>
      <c r="G78" s="4" t="s">
        <v>3</v>
      </c>
      <c r="H78" s="4">
        <v>0</v>
      </c>
      <c r="I78" s="4" t="s">
        <v>3</v>
      </c>
      <c r="J78" s="4">
        <v>0</v>
      </c>
      <c r="K78" s="4" t="s">
        <v>3</v>
      </c>
      <c r="L78" s="5">
        <v>0</v>
      </c>
      <c r="M78" s="7"/>
      <c r="N78" s="6" t="s">
        <v>3</v>
      </c>
      <c r="O78" s="4">
        <v>0</v>
      </c>
      <c r="P78" s="4" t="s">
        <v>3</v>
      </c>
      <c r="Q78" s="4">
        <v>0</v>
      </c>
      <c r="R78" s="4" t="s">
        <v>3</v>
      </c>
      <c r="S78" s="4">
        <v>0</v>
      </c>
      <c r="T78" s="4" t="s">
        <v>3</v>
      </c>
      <c r="U78" s="5">
        <v>0</v>
      </c>
      <c r="V78" s="7"/>
      <c r="W78" s="6" t="s">
        <v>3</v>
      </c>
      <c r="X78" s="4">
        <v>0</v>
      </c>
      <c r="Y78" s="4" t="s">
        <v>3</v>
      </c>
      <c r="Z78" s="4">
        <v>0</v>
      </c>
      <c r="AA78" s="4" t="s">
        <v>3</v>
      </c>
      <c r="AB78" s="4">
        <v>0</v>
      </c>
      <c r="AC78" s="4" t="s">
        <v>3</v>
      </c>
      <c r="AD78" s="5">
        <v>0</v>
      </c>
      <c r="AE78" s="7"/>
      <c r="AF78" s="6" t="s">
        <v>3</v>
      </c>
      <c r="AG78" s="4">
        <v>0</v>
      </c>
      <c r="AH78" s="4" t="s">
        <v>3</v>
      </c>
      <c r="AI78" s="4">
        <v>0</v>
      </c>
      <c r="AJ78" s="4" t="s">
        <v>3</v>
      </c>
      <c r="AK78" s="4">
        <v>0</v>
      </c>
      <c r="AL78" s="4" t="s">
        <v>3</v>
      </c>
      <c r="AM78" s="5">
        <v>0</v>
      </c>
      <c r="AN78" s="7"/>
      <c r="AO78" s="6" t="s">
        <v>13</v>
      </c>
      <c r="AP78" s="4" t="s">
        <v>13</v>
      </c>
      <c r="AQ78" s="4" t="s">
        <v>13</v>
      </c>
      <c r="AR78" s="5" t="s">
        <v>13</v>
      </c>
      <c r="AT78" s="4" t="s">
        <v>3</v>
      </c>
      <c r="AU78" s="4" t="str">
        <f t="shared" si="17"/>
        <v>Sim</v>
      </c>
      <c r="AV78" s="4" t="s">
        <v>3</v>
      </c>
      <c r="AW78" s="4" t="str">
        <f t="shared" si="18"/>
        <v>Sim</v>
      </c>
      <c r="AX78" s="4" t="s">
        <v>3</v>
      </c>
      <c r="AY78" s="4" t="str">
        <f t="shared" si="19"/>
        <v>Sim</v>
      </c>
      <c r="AZ78" s="4" t="s">
        <v>5</v>
      </c>
      <c r="BA78" s="4" t="str">
        <f t="shared" si="20"/>
        <v>Sim</v>
      </c>
      <c r="BB78" s="4" t="s">
        <v>3</v>
      </c>
      <c r="BC78" s="4" t="str">
        <f t="shared" si="21"/>
        <v>Sim</v>
      </c>
      <c r="BD78" s="4" t="s">
        <v>3</v>
      </c>
      <c r="BE78" s="4" t="str">
        <f t="shared" si="22"/>
        <v>Sim</v>
      </c>
      <c r="BF78" s="4" t="s">
        <v>3</v>
      </c>
      <c r="BG78" s="4" t="str">
        <f t="shared" si="23"/>
        <v>Sim</v>
      </c>
      <c r="BH78" s="4" t="s">
        <v>3</v>
      </c>
      <c r="BI78" s="4" t="str">
        <f t="shared" si="24"/>
        <v>Sim</v>
      </c>
      <c r="BJ78" s="4" t="s">
        <v>3</v>
      </c>
      <c r="BK78" s="4" t="str">
        <f t="shared" si="25"/>
        <v>Sim</v>
      </c>
      <c r="BL78" s="4" t="s">
        <v>3</v>
      </c>
      <c r="BM78" s="4" t="str">
        <f t="shared" si="26"/>
        <v>Sim</v>
      </c>
      <c r="BN78" s="4" t="s">
        <v>3</v>
      </c>
      <c r="BO78" s="4" t="str">
        <f t="shared" si="27"/>
        <v>Sim</v>
      </c>
      <c r="BP78" s="4" t="s">
        <v>3</v>
      </c>
      <c r="BQ78" s="4" t="str">
        <f t="shared" si="28"/>
        <v>Sim</v>
      </c>
      <c r="BR78" s="4" t="s">
        <v>3</v>
      </c>
      <c r="BS78" s="4" t="str">
        <f t="shared" si="29"/>
        <v>Sim</v>
      </c>
      <c r="BT78" s="4" t="s">
        <v>3</v>
      </c>
      <c r="BU78" s="4" t="str">
        <f t="shared" si="30"/>
        <v>Sim</v>
      </c>
      <c r="BV78" s="4" t="s">
        <v>3</v>
      </c>
      <c r="BW78" s="4" t="str">
        <f t="shared" si="31"/>
        <v>Sim</v>
      </c>
      <c r="BX78" s="4" t="s">
        <v>3</v>
      </c>
      <c r="BY78" s="4" t="str">
        <f t="shared" si="32"/>
        <v>Sim</v>
      </c>
      <c r="BZ78" s="4" t="s">
        <v>5</v>
      </c>
      <c r="CA78" s="4" t="str">
        <f t="shared" si="33"/>
        <v>Sim</v>
      </c>
    </row>
    <row r="79" spans="2:79">
      <c r="B79" s="45" t="s">
        <v>77</v>
      </c>
      <c r="C79" s="44" t="s">
        <v>156</v>
      </c>
      <c r="D79" s="53" t="s">
        <v>157</v>
      </c>
      <c r="E79" s="6" t="s">
        <v>3</v>
      </c>
      <c r="F79" s="4">
        <v>0</v>
      </c>
      <c r="G79" s="4" t="s">
        <v>3</v>
      </c>
      <c r="H79" s="4">
        <v>0</v>
      </c>
      <c r="I79" s="4" t="s">
        <v>3</v>
      </c>
      <c r="J79" s="4">
        <v>0</v>
      </c>
      <c r="K79" s="4" t="s">
        <v>3</v>
      </c>
      <c r="L79" s="5">
        <v>0</v>
      </c>
      <c r="M79" s="7"/>
      <c r="N79" s="6" t="s">
        <v>3</v>
      </c>
      <c r="O79" s="4">
        <v>0</v>
      </c>
      <c r="P79" s="4" t="s">
        <v>3</v>
      </c>
      <c r="Q79" s="4">
        <v>0</v>
      </c>
      <c r="R79" s="4" t="s">
        <v>3</v>
      </c>
      <c r="S79" s="4">
        <v>0</v>
      </c>
      <c r="T79" s="4" t="s">
        <v>3</v>
      </c>
      <c r="U79" s="5">
        <v>0</v>
      </c>
      <c r="V79" s="7"/>
      <c r="W79" s="6" t="s">
        <v>3</v>
      </c>
      <c r="X79" s="4">
        <v>0</v>
      </c>
      <c r="Y79" s="4" t="s">
        <v>3</v>
      </c>
      <c r="Z79" s="4">
        <v>0</v>
      </c>
      <c r="AA79" s="4" t="s">
        <v>3</v>
      </c>
      <c r="AB79" s="4">
        <v>0</v>
      </c>
      <c r="AC79" s="4" t="s">
        <v>3</v>
      </c>
      <c r="AD79" s="5">
        <v>0</v>
      </c>
      <c r="AE79" s="7"/>
      <c r="AF79" s="6" t="s">
        <v>3</v>
      </c>
      <c r="AG79" s="4">
        <v>0</v>
      </c>
      <c r="AH79" s="4" t="s">
        <v>3</v>
      </c>
      <c r="AI79" s="4">
        <v>0</v>
      </c>
      <c r="AJ79" s="4" t="s">
        <v>3</v>
      </c>
      <c r="AK79" s="4">
        <v>0</v>
      </c>
      <c r="AL79" s="4" t="s">
        <v>3</v>
      </c>
      <c r="AM79" s="5">
        <v>0</v>
      </c>
      <c r="AN79" s="7"/>
      <c r="AO79" s="6" t="s">
        <v>13</v>
      </c>
      <c r="AP79" s="4" t="s">
        <v>13</v>
      </c>
      <c r="AQ79" s="4" t="s">
        <v>13</v>
      </c>
      <c r="AR79" s="5" t="s">
        <v>13</v>
      </c>
      <c r="AT79" s="4" t="s">
        <v>3</v>
      </c>
      <c r="AU79" s="4" t="str">
        <f t="shared" si="17"/>
        <v>Sim</v>
      </c>
      <c r="AV79" s="4" t="s">
        <v>5</v>
      </c>
      <c r="AW79" s="4" t="str">
        <f t="shared" si="18"/>
        <v>Sim</v>
      </c>
      <c r="AX79" s="4" t="s">
        <v>3</v>
      </c>
      <c r="AY79" s="4" t="str">
        <f t="shared" si="19"/>
        <v>Sim</v>
      </c>
      <c r="AZ79" s="4" t="s">
        <v>3</v>
      </c>
      <c r="BA79" s="4" t="str">
        <f t="shared" si="20"/>
        <v>Sim</v>
      </c>
      <c r="BB79" s="4" t="s">
        <v>5</v>
      </c>
      <c r="BC79" s="4" t="str">
        <f t="shared" si="21"/>
        <v>Sim</v>
      </c>
      <c r="BD79" s="4" t="s">
        <v>7</v>
      </c>
      <c r="BE79" s="4" t="str">
        <f t="shared" si="22"/>
        <v>Sim</v>
      </c>
      <c r="BF79" s="4" t="s">
        <v>3</v>
      </c>
      <c r="BG79" s="4" t="str">
        <f t="shared" si="23"/>
        <v>Sim</v>
      </c>
      <c r="BH79" s="4" t="s">
        <v>5</v>
      </c>
      <c r="BI79" s="4" t="str">
        <f t="shared" si="24"/>
        <v>Sim</v>
      </c>
      <c r="BJ79" s="4" t="s">
        <v>5</v>
      </c>
      <c r="BK79" s="4" t="str">
        <f t="shared" si="25"/>
        <v>Sim</v>
      </c>
      <c r="BL79" s="4" t="s">
        <v>3</v>
      </c>
      <c r="BM79" s="4" t="str">
        <f t="shared" si="26"/>
        <v>Sim</v>
      </c>
      <c r="BN79" s="4" t="s">
        <v>5</v>
      </c>
      <c r="BO79" s="4" t="str">
        <f t="shared" si="27"/>
        <v>Sim</v>
      </c>
      <c r="BP79" s="4" t="s">
        <v>3</v>
      </c>
      <c r="BQ79" s="4" t="str">
        <f t="shared" si="28"/>
        <v>Sim</v>
      </c>
      <c r="BR79" s="4" t="s">
        <v>5</v>
      </c>
      <c r="BS79" s="4" t="str">
        <f t="shared" si="29"/>
        <v>Sim</v>
      </c>
      <c r="BT79" s="4" t="s">
        <v>3</v>
      </c>
      <c r="BU79" s="4" t="str">
        <f t="shared" si="30"/>
        <v>Sim</v>
      </c>
      <c r="BV79" s="4" t="s">
        <v>1</v>
      </c>
      <c r="BW79" s="4" t="str">
        <f t="shared" si="31"/>
        <v>Sim</v>
      </c>
      <c r="BX79" s="4" t="s">
        <v>3</v>
      </c>
      <c r="BY79" s="4" t="str">
        <f t="shared" si="32"/>
        <v>Sim</v>
      </c>
      <c r="BZ79" s="4" t="s">
        <v>5</v>
      </c>
      <c r="CA79" s="4" t="str">
        <f t="shared" si="33"/>
        <v>Sim</v>
      </c>
    </row>
    <row r="80" spans="2:79">
      <c r="B80" s="46" t="s">
        <v>77</v>
      </c>
      <c r="C80" s="13" t="s">
        <v>156</v>
      </c>
      <c r="D80" s="54" t="s">
        <v>158</v>
      </c>
      <c r="E80" s="6" t="s">
        <v>3</v>
      </c>
      <c r="F80" s="4">
        <v>0</v>
      </c>
      <c r="G80" s="4" t="s">
        <v>3</v>
      </c>
      <c r="H80" s="4">
        <v>0</v>
      </c>
      <c r="I80" s="4" t="s">
        <v>3</v>
      </c>
      <c r="J80" s="4">
        <v>0</v>
      </c>
      <c r="K80" s="4" t="s">
        <v>3</v>
      </c>
      <c r="L80" s="5">
        <v>0</v>
      </c>
      <c r="M80" s="7"/>
      <c r="N80" s="6" t="s">
        <v>3</v>
      </c>
      <c r="O80" s="4">
        <v>0</v>
      </c>
      <c r="P80" s="4" t="s">
        <v>3</v>
      </c>
      <c r="Q80" s="4">
        <v>0</v>
      </c>
      <c r="R80" s="4" t="s">
        <v>3</v>
      </c>
      <c r="S80" s="4">
        <v>0</v>
      </c>
      <c r="T80" s="4" t="s">
        <v>3</v>
      </c>
      <c r="U80" s="5">
        <v>0</v>
      </c>
      <c r="V80" s="7"/>
      <c r="W80" s="6" t="s">
        <v>3</v>
      </c>
      <c r="X80" s="4">
        <v>0</v>
      </c>
      <c r="Y80" s="4" t="s">
        <v>3</v>
      </c>
      <c r="Z80" s="4">
        <v>0</v>
      </c>
      <c r="AA80" s="4" t="s">
        <v>3</v>
      </c>
      <c r="AB80" s="4">
        <v>0</v>
      </c>
      <c r="AC80" s="4" t="s">
        <v>3</v>
      </c>
      <c r="AD80" s="5">
        <v>0</v>
      </c>
      <c r="AE80" s="7"/>
      <c r="AF80" s="6" t="s">
        <v>3</v>
      </c>
      <c r="AG80" s="4">
        <v>0</v>
      </c>
      <c r="AH80" s="4" t="s">
        <v>3</v>
      </c>
      <c r="AI80" s="4">
        <v>0</v>
      </c>
      <c r="AJ80" s="4" t="s">
        <v>3</v>
      </c>
      <c r="AK80" s="4">
        <v>0</v>
      </c>
      <c r="AL80" s="4" t="s">
        <v>3</v>
      </c>
      <c r="AM80" s="5">
        <v>0</v>
      </c>
      <c r="AN80" s="7"/>
      <c r="AO80" s="6" t="s">
        <v>13</v>
      </c>
      <c r="AP80" s="4" t="s">
        <v>13</v>
      </c>
      <c r="AQ80" s="4" t="s">
        <v>13</v>
      </c>
      <c r="AR80" s="5" t="s">
        <v>13</v>
      </c>
      <c r="AT80" s="4" t="s">
        <v>3</v>
      </c>
      <c r="AU80" s="4" t="str">
        <f t="shared" si="17"/>
        <v>Sim</v>
      </c>
      <c r="AV80" s="4" t="s">
        <v>5</v>
      </c>
      <c r="AW80" s="4" t="str">
        <f t="shared" si="18"/>
        <v>Sim</v>
      </c>
      <c r="AX80" s="4" t="s">
        <v>3</v>
      </c>
      <c r="AY80" s="4" t="str">
        <f t="shared" si="19"/>
        <v>Sim</v>
      </c>
      <c r="AZ80" s="4" t="s">
        <v>3</v>
      </c>
      <c r="BA80" s="4" t="str">
        <f t="shared" si="20"/>
        <v>Sim</v>
      </c>
      <c r="BB80" s="4" t="s">
        <v>5</v>
      </c>
      <c r="BC80" s="4" t="str">
        <f t="shared" si="21"/>
        <v>Sim</v>
      </c>
      <c r="BD80" s="4" t="s">
        <v>5</v>
      </c>
      <c r="BE80" s="4" t="str">
        <f t="shared" si="22"/>
        <v>Sim</v>
      </c>
      <c r="BF80" s="4" t="s">
        <v>3</v>
      </c>
      <c r="BG80" s="4" t="str">
        <f t="shared" si="23"/>
        <v>Sim</v>
      </c>
      <c r="BH80" s="4" t="s">
        <v>5</v>
      </c>
      <c r="BI80" s="4" t="str">
        <f t="shared" si="24"/>
        <v>Sim</v>
      </c>
      <c r="BJ80" s="4" t="s">
        <v>5</v>
      </c>
      <c r="BK80" s="4" t="str">
        <f t="shared" si="25"/>
        <v>Sim</v>
      </c>
      <c r="BL80" s="4" t="s">
        <v>3</v>
      </c>
      <c r="BM80" s="4" t="str">
        <f t="shared" si="26"/>
        <v>Sim</v>
      </c>
      <c r="BN80" s="4" t="s">
        <v>5</v>
      </c>
      <c r="BO80" s="4" t="str">
        <f t="shared" si="27"/>
        <v>Sim</v>
      </c>
      <c r="BP80" s="4" t="s">
        <v>3</v>
      </c>
      <c r="BQ80" s="4" t="str">
        <f t="shared" si="28"/>
        <v>Sim</v>
      </c>
      <c r="BR80" s="4" t="s">
        <v>5</v>
      </c>
      <c r="BS80" s="4" t="str">
        <f t="shared" si="29"/>
        <v>Sim</v>
      </c>
      <c r="BT80" s="4" t="s">
        <v>3</v>
      </c>
      <c r="BU80" s="4" t="str">
        <f t="shared" si="30"/>
        <v>Sim</v>
      </c>
      <c r="BV80" s="4" t="s">
        <v>1</v>
      </c>
      <c r="BW80" s="4" t="str">
        <f t="shared" si="31"/>
        <v>Sim</v>
      </c>
      <c r="BX80" s="4" t="s">
        <v>3</v>
      </c>
      <c r="BY80" s="4" t="str">
        <f t="shared" si="32"/>
        <v>Sim</v>
      </c>
      <c r="BZ80" s="4" t="s">
        <v>5</v>
      </c>
      <c r="CA80" s="4" t="str">
        <f t="shared" si="33"/>
        <v>Sim</v>
      </c>
    </row>
    <row r="81" spans="2:79">
      <c r="B81" s="45" t="s">
        <v>77</v>
      </c>
      <c r="C81" s="44" t="s">
        <v>156</v>
      </c>
      <c r="D81" s="53" t="s">
        <v>159</v>
      </c>
      <c r="E81" s="6" t="s">
        <v>3</v>
      </c>
      <c r="F81" s="4">
        <v>0</v>
      </c>
      <c r="G81" s="4" t="s">
        <v>3</v>
      </c>
      <c r="H81" s="4">
        <v>0</v>
      </c>
      <c r="I81" s="4" t="s">
        <v>3</v>
      </c>
      <c r="J81" s="4">
        <v>0</v>
      </c>
      <c r="K81" s="4" t="s">
        <v>3</v>
      </c>
      <c r="L81" s="5">
        <v>0</v>
      </c>
      <c r="M81" s="7"/>
      <c r="N81" s="6" t="s">
        <v>3</v>
      </c>
      <c r="O81" s="4">
        <v>0</v>
      </c>
      <c r="P81" s="4" t="s">
        <v>3</v>
      </c>
      <c r="Q81" s="4">
        <v>0</v>
      </c>
      <c r="R81" s="4" t="s">
        <v>3</v>
      </c>
      <c r="S81" s="4">
        <v>0</v>
      </c>
      <c r="T81" s="4" t="s">
        <v>3</v>
      </c>
      <c r="U81" s="5">
        <v>0</v>
      </c>
      <c r="V81" s="7"/>
      <c r="W81" s="6" t="s">
        <v>3</v>
      </c>
      <c r="X81" s="4">
        <v>0</v>
      </c>
      <c r="Y81" s="4" t="s">
        <v>3</v>
      </c>
      <c r="Z81" s="4">
        <v>0</v>
      </c>
      <c r="AA81" s="4" t="s">
        <v>3</v>
      </c>
      <c r="AB81" s="4">
        <v>0</v>
      </c>
      <c r="AC81" s="4" t="s">
        <v>3</v>
      </c>
      <c r="AD81" s="5">
        <v>0</v>
      </c>
      <c r="AE81" s="7"/>
      <c r="AF81" s="6" t="s">
        <v>3</v>
      </c>
      <c r="AG81" s="4">
        <v>0</v>
      </c>
      <c r="AH81" s="4" t="s">
        <v>3</v>
      </c>
      <c r="AI81" s="4">
        <v>0</v>
      </c>
      <c r="AJ81" s="4" t="s">
        <v>3</v>
      </c>
      <c r="AK81" s="4">
        <v>0</v>
      </c>
      <c r="AL81" s="4" t="s">
        <v>3</v>
      </c>
      <c r="AM81" s="5">
        <v>0</v>
      </c>
      <c r="AN81" s="7"/>
      <c r="AO81" s="6" t="s">
        <v>13</v>
      </c>
      <c r="AP81" s="4" t="s">
        <v>13</v>
      </c>
      <c r="AQ81" s="4" t="s">
        <v>13</v>
      </c>
      <c r="AR81" s="5" t="s">
        <v>13</v>
      </c>
      <c r="AT81" s="4" t="s">
        <v>3</v>
      </c>
      <c r="AU81" s="4" t="str">
        <f t="shared" si="17"/>
        <v>Sim</v>
      </c>
      <c r="AV81" s="4" t="s">
        <v>5</v>
      </c>
      <c r="AW81" s="4" t="str">
        <f t="shared" si="18"/>
        <v>Sim</v>
      </c>
      <c r="AX81" s="4" t="s">
        <v>3</v>
      </c>
      <c r="AY81" s="4" t="str">
        <f t="shared" si="19"/>
        <v>Sim</v>
      </c>
      <c r="AZ81" s="4" t="s">
        <v>3</v>
      </c>
      <c r="BA81" s="4" t="str">
        <f t="shared" si="20"/>
        <v>Sim</v>
      </c>
      <c r="BB81" s="4" t="s">
        <v>5</v>
      </c>
      <c r="BC81" s="4" t="str">
        <f t="shared" si="21"/>
        <v>Sim</v>
      </c>
      <c r="BD81" s="4" t="s">
        <v>7</v>
      </c>
      <c r="BE81" s="4" t="str">
        <f t="shared" si="22"/>
        <v>Sim</v>
      </c>
      <c r="BF81" s="4" t="s">
        <v>3</v>
      </c>
      <c r="BG81" s="4" t="str">
        <f t="shared" si="23"/>
        <v>Sim</v>
      </c>
      <c r="BH81" s="4" t="s">
        <v>3</v>
      </c>
      <c r="BI81" s="4" t="str">
        <f t="shared" si="24"/>
        <v>Sim</v>
      </c>
      <c r="BJ81" s="4" t="s">
        <v>5</v>
      </c>
      <c r="BK81" s="4" t="str">
        <f t="shared" si="25"/>
        <v>Sim</v>
      </c>
      <c r="BL81" s="4" t="s">
        <v>3</v>
      </c>
      <c r="BM81" s="4" t="str">
        <f t="shared" si="26"/>
        <v>Sim</v>
      </c>
      <c r="BN81" s="4" t="s">
        <v>7</v>
      </c>
      <c r="BO81" s="4" t="str">
        <f t="shared" si="27"/>
        <v>Sim</v>
      </c>
      <c r="BP81" s="4" t="s">
        <v>5</v>
      </c>
      <c r="BQ81" s="4" t="str">
        <f t="shared" si="28"/>
        <v>Sim</v>
      </c>
      <c r="BR81" s="4" t="s">
        <v>3</v>
      </c>
      <c r="BS81" s="4" t="str">
        <f t="shared" si="29"/>
        <v>Sim</v>
      </c>
      <c r="BT81" s="4" t="s">
        <v>3</v>
      </c>
      <c r="BU81" s="4" t="str">
        <f t="shared" si="30"/>
        <v>Sim</v>
      </c>
      <c r="BV81" s="4" t="s">
        <v>1</v>
      </c>
      <c r="BW81" s="4" t="str">
        <f t="shared" si="31"/>
        <v>Sim</v>
      </c>
      <c r="BX81" s="4" t="s">
        <v>3</v>
      </c>
      <c r="BY81" s="4" t="str">
        <f t="shared" si="32"/>
        <v>Sim</v>
      </c>
      <c r="BZ81" s="4" t="s">
        <v>3</v>
      </c>
      <c r="CA81" s="4" t="str">
        <f t="shared" si="33"/>
        <v>Sim</v>
      </c>
    </row>
    <row r="82" spans="2:79">
      <c r="B82" s="46" t="s">
        <v>77</v>
      </c>
      <c r="C82" s="13" t="s">
        <v>87</v>
      </c>
      <c r="D82" s="54" t="s">
        <v>160</v>
      </c>
      <c r="E82" s="6" t="s">
        <v>3</v>
      </c>
      <c r="F82" s="4">
        <v>0</v>
      </c>
      <c r="G82" s="4" t="s">
        <v>3</v>
      </c>
      <c r="H82" s="4">
        <v>0</v>
      </c>
      <c r="I82" s="4" t="s">
        <v>3</v>
      </c>
      <c r="J82" s="4">
        <v>0</v>
      </c>
      <c r="K82" s="4" t="s">
        <v>3</v>
      </c>
      <c r="L82" s="5">
        <v>0</v>
      </c>
      <c r="M82" s="7"/>
      <c r="N82" s="6" t="s">
        <v>3</v>
      </c>
      <c r="O82" s="4">
        <v>0</v>
      </c>
      <c r="P82" s="4" t="s">
        <v>3</v>
      </c>
      <c r="Q82" s="4">
        <v>0</v>
      </c>
      <c r="R82" s="4" t="s">
        <v>3</v>
      </c>
      <c r="S82" s="4">
        <v>0</v>
      </c>
      <c r="T82" s="4" t="s">
        <v>3</v>
      </c>
      <c r="U82" s="5">
        <v>0</v>
      </c>
      <c r="V82" s="7"/>
      <c r="W82" s="6" t="s">
        <v>3</v>
      </c>
      <c r="X82" s="4">
        <v>0</v>
      </c>
      <c r="Y82" s="4" t="s">
        <v>3</v>
      </c>
      <c r="Z82" s="4">
        <v>0</v>
      </c>
      <c r="AA82" s="4" t="s">
        <v>3</v>
      </c>
      <c r="AB82" s="4">
        <v>0</v>
      </c>
      <c r="AC82" s="4" t="s">
        <v>3</v>
      </c>
      <c r="AD82" s="5">
        <v>0</v>
      </c>
      <c r="AE82" s="7"/>
      <c r="AF82" s="6" t="s">
        <v>3</v>
      </c>
      <c r="AG82" s="4">
        <v>0</v>
      </c>
      <c r="AH82" s="4" t="s">
        <v>3</v>
      </c>
      <c r="AI82" s="4">
        <v>0</v>
      </c>
      <c r="AJ82" s="4" t="s">
        <v>3</v>
      </c>
      <c r="AK82" s="4">
        <v>0</v>
      </c>
      <c r="AL82" s="4" t="s">
        <v>3</v>
      </c>
      <c r="AM82" s="5">
        <v>0</v>
      </c>
      <c r="AN82" s="7"/>
      <c r="AO82" s="6" t="s">
        <v>13</v>
      </c>
      <c r="AP82" s="4" t="s">
        <v>13</v>
      </c>
      <c r="AQ82" s="4" t="s">
        <v>13</v>
      </c>
      <c r="AR82" s="5" t="s">
        <v>13</v>
      </c>
      <c r="AT82" s="4" t="s">
        <v>3</v>
      </c>
      <c r="AU82" s="4" t="str">
        <f t="shared" si="17"/>
        <v>Sim</v>
      </c>
      <c r="AV82" s="4" t="s">
        <v>3</v>
      </c>
      <c r="AW82" s="4" t="str">
        <f t="shared" si="18"/>
        <v>Sim</v>
      </c>
      <c r="AX82" s="4" t="s">
        <v>3</v>
      </c>
      <c r="AY82" s="4" t="str">
        <f t="shared" si="19"/>
        <v>Sim</v>
      </c>
      <c r="AZ82" s="4" t="s">
        <v>3</v>
      </c>
      <c r="BA82" s="4" t="str">
        <f t="shared" si="20"/>
        <v>Sim</v>
      </c>
      <c r="BB82" s="4" t="s">
        <v>3</v>
      </c>
      <c r="BC82" s="4" t="str">
        <f t="shared" si="21"/>
        <v>Sim</v>
      </c>
      <c r="BD82" s="4" t="s">
        <v>3</v>
      </c>
      <c r="BE82" s="4" t="str">
        <f t="shared" si="22"/>
        <v>Sim</v>
      </c>
      <c r="BF82" s="4" t="s">
        <v>1</v>
      </c>
      <c r="BG82" s="4" t="str">
        <f t="shared" si="23"/>
        <v>Sim</v>
      </c>
      <c r="BH82" s="4" t="s">
        <v>3</v>
      </c>
      <c r="BI82" s="4" t="str">
        <f t="shared" si="24"/>
        <v>Sim</v>
      </c>
      <c r="BJ82" s="4" t="s">
        <v>5</v>
      </c>
      <c r="BK82" s="4" t="str">
        <f t="shared" si="25"/>
        <v>Sim</v>
      </c>
      <c r="BL82" s="4" t="s">
        <v>3</v>
      </c>
      <c r="BM82" s="4" t="str">
        <f t="shared" si="26"/>
        <v>Sim</v>
      </c>
      <c r="BN82" s="4" t="s">
        <v>7</v>
      </c>
      <c r="BO82" s="4" t="str">
        <f t="shared" si="27"/>
        <v>Sim</v>
      </c>
      <c r="BP82" s="4" t="s">
        <v>3</v>
      </c>
      <c r="BQ82" s="4" t="str">
        <f t="shared" si="28"/>
        <v>Sim</v>
      </c>
      <c r="BR82" s="4" t="s">
        <v>3</v>
      </c>
      <c r="BS82" s="4" t="str">
        <f t="shared" si="29"/>
        <v>Sim</v>
      </c>
      <c r="BT82" s="4" t="s">
        <v>3</v>
      </c>
      <c r="BU82" s="4" t="str">
        <f t="shared" si="30"/>
        <v>Sim</v>
      </c>
      <c r="BV82" s="4" t="s">
        <v>1</v>
      </c>
      <c r="BW82" s="4" t="str">
        <f t="shared" si="31"/>
        <v>Sim</v>
      </c>
      <c r="BX82" s="4" t="s">
        <v>3</v>
      </c>
      <c r="BY82" s="4" t="str">
        <f t="shared" si="32"/>
        <v>Sim</v>
      </c>
      <c r="BZ82" s="4" t="s">
        <v>5</v>
      </c>
      <c r="CA82" s="4" t="str">
        <f t="shared" si="33"/>
        <v>Sim</v>
      </c>
    </row>
    <row r="83" spans="2:79">
      <c r="B83" s="45" t="s">
        <v>77</v>
      </c>
      <c r="C83" s="44" t="s">
        <v>156</v>
      </c>
      <c r="D83" s="53" t="s">
        <v>161</v>
      </c>
      <c r="E83" s="6" t="s">
        <v>3</v>
      </c>
      <c r="F83" s="4">
        <v>0</v>
      </c>
      <c r="G83" s="4" t="s">
        <v>3</v>
      </c>
      <c r="H83" s="4">
        <v>0</v>
      </c>
      <c r="I83" s="4" t="s">
        <v>3</v>
      </c>
      <c r="J83" s="4">
        <v>0</v>
      </c>
      <c r="K83" s="4" t="s">
        <v>3</v>
      </c>
      <c r="L83" s="5">
        <v>0</v>
      </c>
      <c r="M83" s="7"/>
      <c r="N83" s="6" t="s">
        <v>3</v>
      </c>
      <c r="O83" s="4">
        <v>0</v>
      </c>
      <c r="P83" s="4" t="s">
        <v>3</v>
      </c>
      <c r="Q83" s="4">
        <v>0</v>
      </c>
      <c r="R83" s="4" t="s">
        <v>3</v>
      </c>
      <c r="S83" s="4">
        <v>0</v>
      </c>
      <c r="T83" s="4" t="s">
        <v>3</v>
      </c>
      <c r="U83" s="5">
        <v>0</v>
      </c>
      <c r="V83" s="7"/>
      <c r="W83" s="6" t="s">
        <v>3</v>
      </c>
      <c r="X83" s="4">
        <v>0</v>
      </c>
      <c r="Y83" s="4" t="s">
        <v>3</v>
      </c>
      <c r="Z83" s="4">
        <v>0</v>
      </c>
      <c r="AA83" s="4" t="s">
        <v>3</v>
      </c>
      <c r="AB83" s="4">
        <v>0</v>
      </c>
      <c r="AC83" s="4" t="s">
        <v>3</v>
      </c>
      <c r="AD83" s="5">
        <v>0</v>
      </c>
      <c r="AE83" s="7"/>
      <c r="AF83" s="6" t="s">
        <v>3</v>
      </c>
      <c r="AG83" s="4">
        <v>0</v>
      </c>
      <c r="AH83" s="4" t="s">
        <v>3</v>
      </c>
      <c r="AI83" s="4">
        <v>0</v>
      </c>
      <c r="AJ83" s="4" t="s">
        <v>3</v>
      </c>
      <c r="AK83" s="4">
        <v>0</v>
      </c>
      <c r="AL83" s="4" t="s">
        <v>3</v>
      </c>
      <c r="AM83" s="5">
        <v>0</v>
      </c>
      <c r="AN83" s="7"/>
      <c r="AO83" s="6" t="s">
        <v>13</v>
      </c>
      <c r="AP83" s="4" t="s">
        <v>13</v>
      </c>
      <c r="AQ83" s="4" t="s">
        <v>13</v>
      </c>
      <c r="AR83" s="5" t="s">
        <v>13</v>
      </c>
      <c r="AT83" s="4" t="s">
        <v>3</v>
      </c>
      <c r="AU83" s="4" t="str">
        <f t="shared" si="17"/>
        <v>Sim</v>
      </c>
      <c r="AV83" s="4" t="s">
        <v>3</v>
      </c>
      <c r="AW83" s="4" t="str">
        <f t="shared" si="18"/>
        <v>Sim</v>
      </c>
      <c r="AX83" s="4" t="s">
        <v>3</v>
      </c>
      <c r="AY83" s="4" t="str">
        <f t="shared" si="19"/>
        <v>Sim</v>
      </c>
      <c r="AZ83" s="4" t="s">
        <v>1</v>
      </c>
      <c r="BA83" s="4" t="str">
        <f t="shared" si="20"/>
        <v>Sim</v>
      </c>
      <c r="BB83" s="4" t="s">
        <v>3</v>
      </c>
      <c r="BC83" s="4" t="str">
        <f t="shared" si="21"/>
        <v>Sim</v>
      </c>
      <c r="BD83" s="4" t="s">
        <v>3</v>
      </c>
      <c r="BE83" s="4" t="str">
        <f t="shared" si="22"/>
        <v>Sim</v>
      </c>
      <c r="BF83" s="4" t="s">
        <v>1</v>
      </c>
      <c r="BG83" s="4" t="str">
        <f t="shared" si="23"/>
        <v>Sim</v>
      </c>
      <c r="BH83" s="4" t="s">
        <v>5</v>
      </c>
      <c r="BI83" s="4" t="str">
        <f t="shared" si="24"/>
        <v>Sim</v>
      </c>
      <c r="BJ83" s="4" t="s">
        <v>3</v>
      </c>
      <c r="BK83" s="4" t="str">
        <f t="shared" si="25"/>
        <v>Sim</v>
      </c>
      <c r="BL83" s="4" t="s">
        <v>1</v>
      </c>
      <c r="BM83" s="4" t="str">
        <f t="shared" si="26"/>
        <v>Sim</v>
      </c>
      <c r="BN83" s="4" t="s">
        <v>7</v>
      </c>
      <c r="BO83" s="4" t="str">
        <f t="shared" si="27"/>
        <v>Sim</v>
      </c>
      <c r="BP83" s="4" t="s">
        <v>5</v>
      </c>
      <c r="BQ83" s="4" t="str">
        <f t="shared" si="28"/>
        <v>Sim</v>
      </c>
      <c r="BR83" s="4" t="s">
        <v>3</v>
      </c>
      <c r="BS83" s="4" t="str">
        <f t="shared" si="29"/>
        <v>Sim</v>
      </c>
      <c r="BT83" s="4" t="s">
        <v>1</v>
      </c>
      <c r="BU83" s="4" t="str">
        <f t="shared" si="30"/>
        <v>Sim</v>
      </c>
      <c r="BV83" s="4" t="s">
        <v>1</v>
      </c>
      <c r="BW83" s="4" t="str">
        <f t="shared" si="31"/>
        <v>Sim</v>
      </c>
      <c r="BX83" s="4" t="s">
        <v>3</v>
      </c>
      <c r="BY83" s="4" t="str">
        <f t="shared" si="32"/>
        <v>Sim</v>
      </c>
      <c r="BZ83" s="4" t="s">
        <v>3</v>
      </c>
      <c r="CA83" s="4" t="str">
        <f t="shared" si="33"/>
        <v>Sim</v>
      </c>
    </row>
    <row r="84" spans="2:79" ht="17.25" customHeight="1">
      <c r="B84" s="46" t="s">
        <v>77</v>
      </c>
      <c r="C84" s="13" t="s">
        <v>156</v>
      </c>
      <c r="D84" s="54" t="s">
        <v>162</v>
      </c>
      <c r="E84" s="6" t="s">
        <v>3</v>
      </c>
      <c r="F84" s="4">
        <v>0</v>
      </c>
      <c r="G84" s="4" t="s">
        <v>3</v>
      </c>
      <c r="H84" s="4">
        <v>0</v>
      </c>
      <c r="I84" s="4" t="s">
        <v>3</v>
      </c>
      <c r="J84" s="4">
        <v>1</v>
      </c>
      <c r="K84" s="4" t="s">
        <v>3</v>
      </c>
      <c r="L84" s="5">
        <v>1</v>
      </c>
      <c r="M84" s="7"/>
      <c r="N84" s="6" t="s">
        <v>3</v>
      </c>
      <c r="O84" s="4">
        <v>0</v>
      </c>
      <c r="P84" s="4" t="s">
        <v>3</v>
      </c>
      <c r="Q84" s="4">
        <v>0</v>
      </c>
      <c r="R84" s="4" t="s">
        <v>3</v>
      </c>
      <c r="S84" s="4">
        <v>1</v>
      </c>
      <c r="T84" s="4" t="s">
        <v>3</v>
      </c>
      <c r="U84" s="5">
        <v>1</v>
      </c>
      <c r="V84" s="7"/>
      <c r="W84" s="6" t="s">
        <v>3</v>
      </c>
      <c r="X84" s="4">
        <v>0</v>
      </c>
      <c r="Y84" s="4" t="s">
        <v>3</v>
      </c>
      <c r="Z84" s="4">
        <v>0</v>
      </c>
      <c r="AA84" s="4" t="s">
        <v>3</v>
      </c>
      <c r="AB84" s="4">
        <v>1</v>
      </c>
      <c r="AC84" s="4" t="s">
        <v>3</v>
      </c>
      <c r="AD84" s="5">
        <v>1</v>
      </c>
      <c r="AE84" s="7"/>
      <c r="AF84" s="6" t="s">
        <v>3</v>
      </c>
      <c r="AG84" s="4">
        <v>0</v>
      </c>
      <c r="AH84" s="4" t="s">
        <v>3</v>
      </c>
      <c r="AI84" s="4">
        <v>0</v>
      </c>
      <c r="AJ84" s="4" t="s">
        <v>3</v>
      </c>
      <c r="AK84" s="4">
        <v>1</v>
      </c>
      <c r="AL84" s="4" t="s">
        <v>3</v>
      </c>
      <c r="AM84" s="5">
        <v>1</v>
      </c>
      <c r="AN84" s="7"/>
      <c r="AO84" s="6" t="s">
        <v>13</v>
      </c>
      <c r="AP84" s="4" t="s">
        <v>13</v>
      </c>
      <c r="AQ84" s="4" t="s">
        <v>13</v>
      </c>
      <c r="AR84" s="5" t="s">
        <v>13</v>
      </c>
      <c r="AT84" s="4" t="s">
        <v>5</v>
      </c>
      <c r="AU84" s="4" t="str">
        <f t="shared" si="17"/>
        <v>Sim</v>
      </c>
      <c r="AV84" s="4" t="s">
        <v>5</v>
      </c>
      <c r="AW84" s="4" t="str">
        <f t="shared" si="18"/>
        <v>Sim</v>
      </c>
      <c r="AX84" s="4" t="s">
        <v>5</v>
      </c>
      <c r="AY84" s="4" t="str">
        <f t="shared" si="19"/>
        <v>Sim</v>
      </c>
      <c r="AZ84" s="4" t="s">
        <v>3</v>
      </c>
      <c r="BA84" s="4" t="str">
        <f t="shared" si="20"/>
        <v>Sim</v>
      </c>
      <c r="BB84" s="4" t="s">
        <v>5</v>
      </c>
      <c r="BC84" s="4" t="str">
        <f t="shared" si="21"/>
        <v>Sim</v>
      </c>
      <c r="BD84" s="4" t="s">
        <v>5</v>
      </c>
      <c r="BE84" s="4" t="str">
        <f t="shared" si="22"/>
        <v>Sim</v>
      </c>
      <c r="BF84" s="4" t="s">
        <v>3</v>
      </c>
      <c r="BG84" s="4" t="str">
        <f t="shared" si="23"/>
        <v>Sim</v>
      </c>
      <c r="BH84" s="4" t="s">
        <v>5</v>
      </c>
      <c r="BI84" s="4" t="str">
        <f t="shared" si="24"/>
        <v>Sim</v>
      </c>
      <c r="BJ84" s="4" t="s">
        <v>5</v>
      </c>
      <c r="BK84" s="4" t="str">
        <f t="shared" si="25"/>
        <v>Sim</v>
      </c>
      <c r="BL84" s="4" t="s">
        <v>3</v>
      </c>
      <c r="BM84" s="4" t="str">
        <f t="shared" si="26"/>
        <v>Sim</v>
      </c>
      <c r="BN84" s="4" t="s">
        <v>5</v>
      </c>
      <c r="BO84" s="4" t="str">
        <f t="shared" si="27"/>
        <v>Sim</v>
      </c>
      <c r="BP84" s="4" t="s">
        <v>5</v>
      </c>
      <c r="BQ84" s="4" t="str">
        <f t="shared" si="28"/>
        <v>Sim</v>
      </c>
      <c r="BR84" s="4" t="s">
        <v>5</v>
      </c>
      <c r="BS84" s="4" t="str">
        <f t="shared" si="29"/>
        <v>Sim</v>
      </c>
      <c r="BT84" s="4" t="s">
        <v>3</v>
      </c>
      <c r="BU84" s="4" t="str">
        <f t="shared" si="30"/>
        <v>Sim</v>
      </c>
      <c r="BV84" s="4" t="s">
        <v>1</v>
      </c>
      <c r="BW84" s="4" t="str">
        <f t="shared" si="31"/>
        <v>Sim</v>
      </c>
      <c r="BX84" s="4" t="s">
        <v>3</v>
      </c>
      <c r="BY84" s="4" t="str">
        <f t="shared" si="32"/>
        <v>Sim</v>
      </c>
      <c r="BZ84" s="4" t="s">
        <v>3</v>
      </c>
      <c r="CA84" s="4" t="str">
        <f t="shared" si="33"/>
        <v>Sim</v>
      </c>
    </row>
    <row r="85" spans="2:79" ht="15" customHeight="1">
      <c r="B85" s="45" t="s">
        <v>77</v>
      </c>
      <c r="C85" s="44" t="s">
        <v>156</v>
      </c>
      <c r="D85" s="53" t="s">
        <v>163</v>
      </c>
      <c r="E85" s="6" t="s">
        <v>3</v>
      </c>
      <c r="F85" s="4">
        <v>0</v>
      </c>
      <c r="G85" s="4" t="s">
        <v>3</v>
      </c>
      <c r="H85" s="4">
        <v>0</v>
      </c>
      <c r="I85" s="4" t="s">
        <v>3</v>
      </c>
      <c r="J85" s="4">
        <v>0</v>
      </c>
      <c r="K85" s="4" t="s">
        <v>3</v>
      </c>
      <c r="L85" s="5">
        <v>0</v>
      </c>
      <c r="M85" s="7"/>
      <c r="N85" s="6" t="s">
        <v>3</v>
      </c>
      <c r="O85" s="4">
        <v>0</v>
      </c>
      <c r="P85" s="4" t="s">
        <v>3</v>
      </c>
      <c r="Q85" s="4">
        <v>0</v>
      </c>
      <c r="R85" s="4" t="s">
        <v>3</v>
      </c>
      <c r="S85" s="4">
        <v>0</v>
      </c>
      <c r="T85" s="4" t="s">
        <v>3</v>
      </c>
      <c r="U85" s="5">
        <v>0</v>
      </c>
      <c r="V85" s="7"/>
      <c r="W85" s="6" t="s">
        <v>3</v>
      </c>
      <c r="X85" s="4">
        <v>0</v>
      </c>
      <c r="Y85" s="4" t="s">
        <v>3</v>
      </c>
      <c r="Z85" s="4">
        <v>0</v>
      </c>
      <c r="AA85" s="4" t="s">
        <v>3</v>
      </c>
      <c r="AB85" s="4">
        <v>0</v>
      </c>
      <c r="AC85" s="4" t="s">
        <v>3</v>
      </c>
      <c r="AD85" s="5">
        <v>0</v>
      </c>
      <c r="AE85" s="7"/>
      <c r="AF85" s="6" t="s">
        <v>3</v>
      </c>
      <c r="AG85" s="4">
        <v>0</v>
      </c>
      <c r="AH85" s="4" t="s">
        <v>3</v>
      </c>
      <c r="AI85" s="4">
        <v>0</v>
      </c>
      <c r="AJ85" s="4" t="s">
        <v>3</v>
      </c>
      <c r="AK85" s="4">
        <v>0</v>
      </c>
      <c r="AL85" s="4" t="s">
        <v>3</v>
      </c>
      <c r="AM85" s="5">
        <v>0</v>
      </c>
      <c r="AN85" s="7"/>
      <c r="AO85" s="6" t="s">
        <v>13</v>
      </c>
      <c r="AP85" s="4" t="s">
        <v>13</v>
      </c>
      <c r="AQ85" s="4" t="s">
        <v>13</v>
      </c>
      <c r="AR85" s="5" t="s">
        <v>13</v>
      </c>
      <c r="AT85" s="4" t="s">
        <v>3</v>
      </c>
      <c r="AU85" s="4" t="str">
        <f t="shared" si="17"/>
        <v>Sim</v>
      </c>
      <c r="AV85" s="4" t="s">
        <v>3</v>
      </c>
      <c r="AW85" s="4" t="str">
        <f t="shared" si="18"/>
        <v>Sim</v>
      </c>
      <c r="AX85" s="4" t="s">
        <v>5</v>
      </c>
      <c r="AY85" s="4" t="str">
        <f t="shared" si="19"/>
        <v>Sim</v>
      </c>
      <c r="AZ85" s="4" t="s">
        <v>1</v>
      </c>
      <c r="BA85" s="4" t="str">
        <f t="shared" si="20"/>
        <v>Sim</v>
      </c>
      <c r="BB85" s="4" t="s">
        <v>3</v>
      </c>
      <c r="BC85" s="4" t="str">
        <f t="shared" si="21"/>
        <v>Sim</v>
      </c>
      <c r="BD85" s="4" t="s">
        <v>3</v>
      </c>
      <c r="BE85" s="4" t="str">
        <f t="shared" si="22"/>
        <v>Sim</v>
      </c>
      <c r="BF85" s="4" t="s">
        <v>1</v>
      </c>
      <c r="BG85" s="4" t="str">
        <f t="shared" si="23"/>
        <v>Sim</v>
      </c>
      <c r="BH85" s="4" t="s">
        <v>3</v>
      </c>
      <c r="BI85" s="4" t="str">
        <f t="shared" si="24"/>
        <v>Sim</v>
      </c>
      <c r="BJ85" s="4" t="s">
        <v>5</v>
      </c>
      <c r="BK85" s="4" t="str">
        <f t="shared" si="25"/>
        <v>Sim</v>
      </c>
      <c r="BL85" s="4" t="s">
        <v>3</v>
      </c>
      <c r="BM85" s="4" t="str">
        <f t="shared" si="26"/>
        <v>Sim</v>
      </c>
      <c r="BN85" s="4" t="s">
        <v>5</v>
      </c>
      <c r="BO85" s="4" t="str">
        <f t="shared" si="27"/>
        <v>Sim</v>
      </c>
      <c r="BP85" s="4" t="s">
        <v>5</v>
      </c>
      <c r="BQ85" s="4" t="str">
        <f t="shared" si="28"/>
        <v>Sim</v>
      </c>
      <c r="BR85" s="4" t="s">
        <v>5</v>
      </c>
      <c r="BS85" s="4" t="str">
        <f t="shared" si="29"/>
        <v>Sim</v>
      </c>
      <c r="BT85" s="4" t="s">
        <v>5</v>
      </c>
      <c r="BU85" s="4" t="str">
        <f t="shared" si="30"/>
        <v>Sim</v>
      </c>
      <c r="BV85" s="4" t="s">
        <v>1</v>
      </c>
      <c r="BW85" s="4" t="str">
        <f t="shared" si="31"/>
        <v>Sim</v>
      </c>
      <c r="BX85" s="4" t="s">
        <v>3</v>
      </c>
      <c r="BY85" s="4" t="str">
        <f t="shared" si="32"/>
        <v>Sim</v>
      </c>
      <c r="BZ85" s="4" t="s">
        <v>3</v>
      </c>
      <c r="CA85" s="4" t="str">
        <f t="shared" si="33"/>
        <v>Sim</v>
      </c>
    </row>
    <row r="86" spans="2:79" ht="18" customHeight="1">
      <c r="B86" s="46" t="s">
        <v>77</v>
      </c>
      <c r="C86" s="13" t="s">
        <v>156</v>
      </c>
      <c r="D86" s="54" t="s">
        <v>164</v>
      </c>
      <c r="E86" s="6" t="s">
        <v>3</v>
      </c>
      <c r="F86" s="4">
        <v>0</v>
      </c>
      <c r="G86" s="4" t="s">
        <v>3</v>
      </c>
      <c r="H86" s="4">
        <v>0</v>
      </c>
      <c r="I86" s="4" t="s">
        <v>3</v>
      </c>
      <c r="J86" s="4">
        <v>0</v>
      </c>
      <c r="K86" s="4" t="s">
        <v>3</v>
      </c>
      <c r="L86" s="5">
        <v>0</v>
      </c>
      <c r="M86" s="7"/>
      <c r="N86" s="6" t="s">
        <v>3</v>
      </c>
      <c r="O86" s="4">
        <v>0</v>
      </c>
      <c r="P86" s="4" t="s">
        <v>3</v>
      </c>
      <c r="Q86" s="4">
        <v>0</v>
      </c>
      <c r="R86" s="4" t="s">
        <v>3</v>
      </c>
      <c r="S86" s="4">
        <v>0</v>
      </c>
      <c r="T86" s="4" t="s">
        <v>3</v>
      </c>
      <c r="U86" s="5">
        <v>0</v>
      </c>
      <c r="V86" s="7"/>
      <c r="W86" s="6" t="s">
        <v>3</v>
      </c>
      <c r="X86" s="4">
        <v>0</v>
      </c>
      <c r="Y86" s="4" t="s">
        <v>3</v>
      </c>
      <c r="Z86" s="4">
        <v>0</v>
      </c>
      <c r="AA86" s="4" t="s">
        <v>3</v>
      </c>
      <c r="AB86" s="4">
        <v>0</v>
      </c>
      <c r="AC86" s="4" t="s">
        <v>3</v>
      </c>
      <c r="AD86" s="5">
        <v>0</v>
      </c>
      <c r="AE86" s="7"/>
      <c r="AF86" s="6" t="s">
        <v>3</v>
      </c>
      <c r="AG86" s="4">
        <v>0</v>
      </c>
      <c r="AH86" s="4" t="s">
        <v>3</v>
      </c>
      <c r="AI86" s="4">
        <v>0</v>
      </c>
      <c r="AJ86" s="4" t="s">
        <v>3</v>
      </c>
      <c r="AK86" s="4">
        <v>0</v>
      </c>
      <c r="AL86" s="4" t="s">
        <v>3</v>
      </c>
      <c r="AM86" s="5">
        <v>0</v>
      </c>
      <c r="AN86" s="7"/>
      <c r="AO86" s="6" t="s">
        <v>13</v>
      </c>
      <c r="AP86" s="4" t="s">
        <v>13</v>
      </c>
      <c r="AQ86" s="4" t="s">
        <v>13</v>
      </c>
      <c r="AR86" s="5" t="s">
        <v>13</v>
      </c>
      <c r="AT86" s="4" t="s">
        <v>3</v>
      </c>
      <c r="AU86" s="4" t="str">
        <f t="shared" si="17"/>
        <v>Sim</v>
      </c>
      <c r="AV86" s="4" t="s">
        <v>1</v>
      </c>
      <c r="AW86" s="4" t="str">
        <f t="shared" si="18"/>
        <v>Sim</v>
      </c>
      <c r="AX86" s="4" t="s">
        <v>3</v>
      </c>
      <c r="AY86" s="4" t="str">
        <f t="shared" si="19"/>
        <v>Sim</v>
      </c>
      <c r="AZ86" s="4" t="s">
        <v>1</v>
      </c>
      <c r="BA86" s="4" t="str">
        <f t="shared" si="20"/>
        <v>Sim</v>
      </c>
      <c r="BB86" s="4" t="s">
        <v>3</v>
      </c>
      <c r="BC86" s="4" t="str">
        <f t="shared" si="21"/>
        <v>Sim</v>
      </c>
      <c r="BD86" s="4" t="s">
        <v>5</v>
      </c>
      <c r="BE86" s="4" t="str">
        <f t="shared" si="22"/>
        <v>Sim</v>
      </c>
      <c r="BF86" s="4" t="s">
        <v>1</v>
      </c>
      <c r="BG86" s="4" t="str">
        <f t="shared" si="23"/>
        <v>Sim</v>
      </c>
      <c r="BH86" s="4" t="s">
        <v>5</v>
      </c>
      <c r="BI86" s="4" t="str">
        <f t="shared" si="24"/>
        <v>Sim</v>
      </c>
      <c r="BJ86" s="4" t="s">
        <v>5</v>
      </c>
      <c r="BK86" s="4" t="str">
        <f t="shared" si="25"/>
        <v>Sim</v>
      </c>
      <c r="BL86" s="4" t="s">
        <v>1</v>
      </c>
      <c r="BM86" s="4" t="str">
        <f t="shared" si="26"/>
        <v>Sim</v>
      </c>
      <c r="BN86" s="4" t="s">
        <v>5</v>
      </c>
      <c r="BO86" s="4" t="str">
        <f t="shared" si="27"/>
        <v>Sim</v>
      </c>
      <c r="BP86" s="4" t="s">
        <v>3</v>
      </c>
      <c r="BQ86" s="4" t="str">
        <f t="shared" si="28"/>
        <v>Sim</v>
      </c>
      <c r="BR86" s="4" t="s">
        <v>1</v>
      </c>
      <c r="BS86" s="4" t="str">
        <f t="shared" si="29"/>
        <v>Sim</v>
      </c>
      <c r="BT86" s="4" t="s">
        <v>3</v>
      </c>
      <c r="BU86" s="4" t="str">
        <f t="shared" si="30"/>
        <v>Sim</v>
      </c>
      <c r="BV86" s="4" t="s">
        <v>1</v>
      </c>
      <c r="BW86" s="4" t="str">
        <f t="shared" si="31"/>
        <v>Sim</v>
      </c>
      <c r="BX86" s="4" t="s">
        <v>3</v>
      </c>
      <c r="BY86" s="4" t="str">
        <f t="shared" si="32"/>
        <v>Sim</v>
      </c>
      <c r="BZ86" s="4" t="s">
        <v>3</v>
      </c>
      <c r="CA86" s="4" t="str">
        <f t="shared" si="33"/>
        <v>Sim</v>
      </c>
    </row>
    <row r="87" spans="2:79" ht="17.25" customHeight="1">
      <c r="B87" s="45" t="s">
        <v>77</v>
      </c>
      <c r="C87" s="44" t="s">
        <v>156</v>
      </c>
      <c r="D87" s="53" t="s">
        <v>165</v>
      </c>
      <c r="E87" s="6" t="s">
        <v>3</v>
      </c>
      <c r="F87" s="4">
        <v>0</v>
      </c>
      <c r="G87" s="4" t="s">
        <v>3</v>
      </c>
      <c r="H87" s="4">
        <v>0</v>
      </c>
      <c r="I87" s="4" t="s">
        <v>3</v>
      </c>
      <c r="J87" s="4">
        <v>0</v>
      </c>
      <c r="K87" s="4" t="s">
        <v>3</v>
      </c>
      <c r="L87" s="5">
        <v>0</v>
      </c>
      <c r="M87" s="7"/>
      <c r="N87" s="6" t="s">
        <v>3</v>
      </c>
      <c r="O87" s="4">
        <v>0</v>
      </c>
      <c r="P87" s="4" t="s">
        <v>3</v>
      </c>
      <c r="Q87" s="4">
        <v>0</v>
      </c>
      <c r="R87" s="4" t="s">
        <v>3</v>
      </c>
      <c r="S87" s="4">
        <v>0</v>
      </c>
      <c r="T87" s="4" t="s">
        <v>3</v>
      </c>
      <c r="U87" s="5">
        <v>0</v>
      </c>
      <c r="V87" s="7"/>
      <c r="W87" s="6" t="s">
        <v>3</v>
      </c>
      <c r="X87" s="4">
        <v>0</v>
      </c>
      <c r="Y87" s="4" t="s">
        <v>3</v>
      </c>
      <c r="Z87" s="4">
        <v>0</v>
      </c>
      <c r="AA87" s="4" t="s">
        <v>3</v>
      </c>
      <c r="AB87" s="4">
        <v>0</v>
      </c>
      <c r="AC87" s="4" t="s">
        <v>3</v>
      </c>
      <c r="AD87" s="5">
        <v>0</v>
      </c>
      <c r="AE87" s="7"/>
      <c r="AF87" s="6" t="s">
        <v>3</v>
      </c>
      <c r="AG87" s="4">
        <v>0</v>
      </c>
      <c r="AH87" s="4" t="s">
        <v>3</v>
      </c>
      <c r="AI87" s="4">
        <v>0</v>
      </c>
      <c r="AJ87" s="4" t="s">
        <v>3</v>
      </c>
      <c r="AK87" s="4">
        <v>0</v>
      </c>
      <c r="AL87" s="4" t="s">
        <v>3</v>
      </c>
      <c r="AM87" s="5">
        <v>0</v>
      </c>
      <c r="AN87" s="7"/>
      <c r="AO87" s="6" t="s">
        <v>13</v>
      </c>
      <c r="AP87" s="4" t="s">
        <v>13</v>
      </c>
      <c r="AQ87" s="4" t="s">
        <v>13</v>
      </c>
      <c r="AR87" s="5" t="s">
        <v>13</v>
      </c>
      <c r="AT87" s="4" t="s">
        <v>3</v>
      </c>
      <c r="AU87" s="4" t="str">
        <f t="shared" si="17"/>
        <v>Sim</v>
      </c>
      <c r="AV87" s="4" t="s">
        <v>3</v>
      </c>
      <c r="AW87" s="4" t="str">
        <f t="shared" si="18"/>
        <v>Sim</v>
      </c>
      <c r="AX87" s="4" t="s">
        <v>5</v>
      </c>
      <c r="AY87" s="4" t="str">
        <f t="shared" si="19"/>
        <v>Sim</v>
      </c>
      <c r="AZ87" s="4" t="s">
        <v>1</v>
      </c>
      <c r="BA87" s="4" t="str">
        <f t="shared" si="20"/>
        <v>Sim</v>
      </c>
      <c r="BB87" s="4" t="s">
        <v>5</v>
      </c>
      <c r="BC87" s="4" t="str">
        <f t="shared" si="21"/>
        <v>Sim</v>
      </c>
      <c r="BD87" s="4" t="s">
        <v>7</v>
      </c>
      <c r="BE87" s="4" t="str">
        <f t="shared" si="22"/>
        <v>Sim</v>
      </c>
      <c r="BF87" s="4" t="s">
        <v>3</v>
      </c>
      <c r="BG87" s="4" t="str">
        <f t="shared" si="23"/>
        <v>Sim</v>
      </c>
      <c r="BH87" s="4" t="s">
        <v>5</v>
      </c>
      <c r="BI87" s="4" t="str">
        <f t="shared" si="24"/>
        <v>Sim</v>
      </c>
      <c r="BJ87" s="4" t="s">
        <v>3</v>
      </c>
      <c r="BK87" s="4" t="str">
        <f t="shared" si="25"/>
        <v>Sim</v>
      </c>
      <c r="BL87" s="4" t="s">
        <v>3</v>
      </c>
      <c r="BM87" s="4" t="str">
        <f t="shared" si="26"/>
        <v>Sim</v>
      </c>
      <c r="BN87" s="4" t="s">
        <v>5</v>
      </c>
      <c r="BO87" s="4" t="str">
        <f t="shared" si="27"/>
        <v>Sim</v>
      </c>
      <c r="BP87" s="4" t="s">
        <v>5</v>
      </c>
      <c r="BQ87" s="4" t="str">
        <f t="shared" si="28"/>
        <v>Sim</v>
      </c>
      <c r="BR87" s="4" t="s">
        <v>5</v>
      </c>
      <c r="BS87" s="4" t="str">
        <f t="shared" si="29"/>
        <v>Sim</v>
      </c>
      <c r="BT87" s="4" t="s">
        <v>1</v>
      </c>
      <c r="BU87" s="4" t="str">
        <f t="shared" si="30"/>
        <v>Sim</v>
      </c>
      <c r="BV87" s="4" t="s">
        <v>3</v>
      </c>
      <c r="BW87" s="4" t="str">
        <f t="shared" si="31"/>
        <v>Sim</v>
      </c>
      <c r="BX87" s="4" t="s">
        <v>3</v>
      </c>
      <c r="BY87" s="4" t="str">
        <f t="shared" si="32"/>
        <v>Sim</v>
      </c>
      <c r="BZ87" s="4" t="s">
        <v>3</v>
      </c>
      <c r="CA87" s="4" t="str">
        <f t="shared" si="33"/>
        <v>Sim</v>
      </c>
    </row>
    <row r="88" spans="2:79" ht="15" customHeight="1">
      <c r="B88" s="46" t="s">
        <v>77</v>
      </c>
      <c r="C88" s="13" t="s">
        <v>156</v>
      </c>
      <c r="D88" s="54" t="s">
        <v>166</v>
      </c>
      <c r="E88" s="6" t="s">
        <v>3</v>
      </c>
      <c r="F88" s="4">
        <v>0</v>
      </c>
      <c r="G88" s="4" t="s">
        <v>3</v>
      </c>
      <c r="H88" s="4">
        <v>0</v>
      </c>
      <c r="I88" s="4" t="s">
        <v>3</v>
      </c>
      <c r="J88" s="4">
        <v>0</v>
      </c>
      <c r="K88" s="4" t="s">
        <v>3</v>
      </c>
      <c r="L88" s="5">
        <v>0</v>
      </c>
      <c r="M88" s="7"/>
      <c r="N88" s="6" t="s">
        <v>3</v>
      </c>
      <c r="O88" s="4">
        <v>0</v>
      </c>
      <c r="P88" s="4" t="s">
        <v>3</v>
      </c>
      <c r="Q88" s="4">
        <v>0</v>
      </c>
      <c r="R88" s="4" t="s">
        <v>3</v>
      </c>
      <c r="S88" s="4">
        <v>1</v>
      </c>
      <c r="T88" s="4" t="s">
        <v>3</v>
      </c>
      <c r="U88" s="5">
        <v>1</v>
      </c>
      <c r="V88" s="7"/>
      <c r="W88" s="6" t="s">
        <v>3</v>
      </c>
      <c r="X88" s="4">
        <v>0</v>
      </c>
      <c r="Y88" s="4" t="s">
        <v>3</v>
      </c>
      <c r="Z88" s="4">
        <v>0</v>
      </c>
      <c r="AA88" s="4" t="s">
        <v>3</v>
      </c>
      <c r="AB88" s="4">
        <v>1</v>
      </c>
      <c r="AC88" s="4" t="s">
        <v>3</v>
      </c>
      <c r="AD88" s="5">
        <v>1</v>
      </c>
      <c r="AE88" s="7"/>
      <c r="AF88" s="6" t="s">
        <v>3</v>
      </c>
      <c r="AG88" s="4">
        <v>0</v>
      </c>
      <c r="AH88" s="4" t="s">
        <v>3</v>
      </c>
      <c r="AI88" s="4">
        <v>0</v>
      </c>
      <c r="AJ88" s="4" t="s">
        <v>3</v>
      </c>
      <c r="AK88" s="4">
        <v>1</v>
      </c>
      <c r="AL88" s="4" t="s">
        <v>3</v>
      </c>
      <c r="AM88" s="5">
        <v>1</v>
      </c>
      <c r="AN88" s="7"/>
      <c r="AO88" s="6" t="s">
        <v>13</v>
      </c>
      <c r="AP88" s="4" t="s">
        <v>13</v>
      </c>
      <c r="AQ88" s="4" t="s">
        <v>13</v>
      </c>
      <c r="AR88" s="5" t="s">
        <v>13</v>
      </c>
      <c r="AT88" s="4" t="s">
        <v>5</v>
      </c>
      <c r="AU88" s="4" t="str">
        <f t="shared" si="17"/>
        <v>Sim</v>
      </c>
      <c r="AV88" s="4" t="s">
        <v>5</v>
      </c>
      <c r="AW88" s="4" t="str">
        <f t="shared" si="18"/>
        <v>Sim</v>
      </c>
      <c r="AX88" s="4" t="s">
        <v>5</v>
      </c>
      <c r="AY88" s="4" t="str">
        <f t="shared" si="19"/>
        <v>Sim</v>
      </c>
      <c r="AZ88" s="4" t="s">
        <v>3</v>
      </c>
      <c r="BA88" s="4" t="str">
        <f t="shared" si="20"/>
        <v>Sim</v>
      </c>
      <c r="BB88" s="4" t="s">
        <v>5</v>
      </c>
      <c r="BC88" s="4" t="str">
        <f t="shared" si="21"/>
        <v>Sim</v>
      </c>
      <c r="BD88" s="4" t="s">
        <v>5</v>
      </c>
      <c r="BE88" s="4" t="str">
        <f t="shared" si="22"/>
        <v>Sim</v>
      </c>
      <c r="BF88" s="4" t="s">
        <v>3</v>
      </c>
      <c r="BG88" s="4" t="str">
        <f t="shared" si="23"/>
        <v>Sim</v>
      </c>
      <c r="BH88" s="4" t="s">
        <v>5</v>
      </c>
      <c r="BI88" s="4" t="str">
        <f t="shared" si="24"/>
        <v>Sim</v>
      </c>
      <c r="BJ88" s="4" t="s">
        <v>5</v>
      </c>
      <c r="BK88" s="4" t="str">
        <f t="shared" si="25"/>
        <v>Sim</v>
      </c>
      <c r="BL88" s="4" t="s">
        <v>3</v>
      </c>
      <c r="BM88" s="4" t="str">
        <f t="shared" si="26"/>
        <v>Sim</v>
      </c>
      <c r="BN88" s="4" t="s">
        <v>5</v>
      </c>
      <c r="BO88" s="4" t="str">
        <f t="shared" si="27"/>
        <v>Sim</v>
      </c>
      <c r="BP88" s="4" t="s">
        <v>5</v>
      </c>
      <c r="BQ88" s="4" t="str">
        <f t="shared" si="28"/>
        <v>Sim</v>
      </c>
      <c r="BR88" s="4" t="s">
        <v>5</v>
      </c>
      <c r="BS88" s="4" t="str">
        <f t="shared" si="29"/>
        <v>Sim</v>
      </c>
      <c r="BT88" s="4" t="s">
        <v>3</v>
      </c>
      <c r="BU88" s="4" t="str">
        <f t="shared" si="30"/>
        <v>Sim</v>
      </c>
      <c r="BV88" s="4" t="s">
        <v>1</v>
      </c>
      <c r="BW88" s="4" t="str">
        <f t="shared" si="31"/>
        <v>Sim</v>
      </c>
      <c r="BX88" s="4" t="s">
        <v>5</v>
      </c>
      <c r="BY88" s="4" t="str">
        <f t="shared" si="32"/>
        <v>Sim</v>
      </c>
      <c r="BZ88" s="4" t="s">
        <v>5</v>
      </c>
      <c r="CA88" s="4" t="str">
        <f t="shared" si="33"/>
        <v>Sim</v>
      </c>
    </row>
    <row r="89" spans="2:79" ht="15" customHeight="1">
      <c r="B89" s="45" t="s">
        <v>77</v>
      </c>
      <c r="C89" s="44" t="s">
        <v>156</v>
      </c>
      <c r="D89" s="53" t="s">
        <v>167</v>
      </c>
      <c r="E89" s="6" t="s">
        <v>3</v>
      </c>
      <c r="F89" s="4">
        <v>0</v>
      </c>
      <c r="G89" s="4" t="s">
        <v>3</v>
      </c>
      <c r="H89" s="4">
        <v>0</v>
      </c>
      <c r="I89" s="4" t="s">
        <v>3</v>
      </c>
      <c r="J89" s="4">
        <v>0</v>
      </c>
      <c r="K89" s="4" t="s">
        <v>3</v>
      </c>
      <c r="L89" s="5">
        <v>0</v>
      </c>
      <c r="M89" s="7"/>
      <c r="N89" s="6" t="s">
        <v>3</v>
      </c>
      <c r="O89" s="4">
        <v>0</v>
      </c>
      <c r="P89" s="4" t="s">
        <v>3</v>
      </c>
      <c r="Q89" s="4">
        <v>0</v>
      </c>
      <c r="R89" s="4" t="s">
        <v>3</v>
      </c>
      <c r="S89" s="4">
        <v>1</v>
      </c>
      <c r="T89" s="4" t="s">
        <v>3</v>
      </c>
      <c r="U89" s="5">
        <v>1</v>
      </c>
      <c r="V89" s="7"/>
      <c r="W89" s="6" t="s">
        <v>3</v>
      </c>
      <c r="X89" s="4">
        <v>0</v>
      </c>
      <c r="Y89" s="4" t="s">
        <v>3</v>
      </c>
      <c r="Z89" s="4">
        <v>0</v>
      </c>
      <c r="AA89" s="4" t="s">
        <v>3</v>
      </c>
      <c r="AB89" s="4">
        <v>1</v>
      </c>
      <c r="AC89" s="4" t="s">
        <v>3</v>
      </c>
      <c r="AD89" s="5">
        <v>1</v>
      </c>
      <c r="AE89" s="7"/>
      <c r="AF89" s="6" t="s">
        <v>3</v>
      </c>
      <c r="AG89" s="4">
        <v>0</v>
      </c>
      <c r="AH89" s="4" t="s">
        <v>3</v>
      </c>
      <c r="AI89" s="4">
        <v>0</v>
      </c>
      <c r="AJ89" s="4" t="s">
        <v>3</v>
      </c>
      <c r="AK89" s="4">
        <v>1</v>
      </c>
      <c r="AL89" s="4" t="s">
        <v>3</v>
      </c>
      <c r="AM89" s="5">
        <v>1</v>
      </c>
      <c r="AN89" s="7"/>
      <c r="AO89" s="6" t="s">
        <v>13</v>
      </c>
      <c r="AP89" s="4" t="s">
        <v>13</v>
      </c>
      <c r="AQ89" s="4" t="s">
        <v>13</v>
      </c>
      <c r="AR89" s="5" t="s">
        <v>13</v>
      </c>
      <c r="AT89" s="4" t="s">
        <v>5</v>
      </c>
      <c r="AU89" s="4" t="str">
        <f t="shared" si="17"/>
        <v>Sim</v>
      </c>
      <c r="AV89" s="4" t="s">
        <v>5</v>
      </c>
      <c r="AW89" s="4" t="str">
        <f t="shared" si="18"/>
        <v>Sim</v>
      </c>
      <c r="AX89" s="4" t="s">
        <v>5</v>
      </c>
      <c r="AY89" s="4" t="str">
        <f t="shared" si="19"/>
        <v>Sim</v>
      </c>
      <c r="AZ89" s="4" t="s">
        <v>3</v>
      </c>
      <c r="BA89" s="4" t="str">
        <f t="shared" si="20"/>
        <v>Sim</v>
      </c>
      <c r="BB89" s="4" t="s">
        <v>5</v>
      </c>
      <c r="BC89" s="4" t="str">
        <f t="shared" si="21"/>
        <v>Sim</v>
      </c>
      <c r="BD89" s="4" t="s">
        <v>5</v>
      </c>
      <c r="BE89" s="4" t="str">
        <f t="shared" si="22"/>
        <v>Sim</v>
      </c>
      <c r="BF89" s="4" t="s">
        <v>3</v>
      </c>
      <c r="BG89" s="4" t="str">
        <f t="shared" si="23"/>
        <v>Sim</v>
      </c>
      <c r="BH89" s="4" t="s">
        <v>5</v>
      </c>
      <c r="BI89" s="4" t="str">
        <f t="shared" si="24"/>
        <v>Sim</v>
      </c>
      <c r="BJ89" s="4" t="s">
        <v>5</v>
      </c>
      <c r="BK89" s="4" t="str">
        <f t="shared" si="25"/>
        <v>Sim</v>
      </c>
      <c r="BL89" s="4" t="s">
        <v>3</v>
      </c>
      <c r="BM89" s="4" t="str">
        <f t="shared" si="26"/>
        <v>Sim</v>
      </c>
      <c r="BN89" s="4" t="s">
        <v>5</v>
      </c>
      <c r="BO89" s="4" t="str">
        <f t="shared" si="27"/>
        <v>Sim</v>
      </c>
      <c r="BP89" s="4" t="s">
        <v>5</v>
      </c>
      <c r="BQ89" s="4" t="str">
        <f t="shared" si="28"/>
        <v>Sim</v>
      </c>
      <c r="BR89" s="4" t="s">
        <v>5</v>
      </c>
      <c r="BS89" s="4" t="str">
        <f t="shared" si="29"/>
        <v>Sim</v>
      </c>
      <c r="BT89" s="4" t="s">
        <v>3</v>
      </c>
      <c r="BU89" s="4" t="str">
        <f t="shared" si="30"/>
        <v>Sim</v>
      </c>
      <c r="BV89" s="4" t="s">
        <v>1</v>
      </c>
      <c r="BW89" s="4" t="str">
        <f t="shared" si="31"/>
        <v>Sim</v>
      </c>
      <c r="BX89" s="4" t="s">
        <v>5</v>
      </c>
      <c r="BY89" s="4" t="str">
        <f t="shared" si="32"/>
        <v>Sim</v>
      </c>
      <c r="BZ89" s="4" t="s">
        <v>5</v>
      </c>
      <c r="CA89" s="4" t="str">
        <f t="shared" si="33"/>
        <v>Sim</v>
      </c>
    </row>
    <row r="90" spans="2:79" ht="14.25" customHeight="1">
      <c r="B90" s="46" t="s">
        <v>77</v>
      </c>
      <c r="C90" s="13" t="s">
        <v>156</v>
      </c>
      <c r="D90" s="54" t="s">
        <v>168</v>
      </c>
      <c r="E90" s="6" t="s">
        <v>3</v>
      </c>
      <c r="F90" s="4">
        <v>0</v>
      </c>
      <c r="G90" s="4" t="s">
        <v>3</v>
      </c>
      <c r="H90" s="4">
        <v>0</v>
      </c>
      <c r="I90" s="4" t="s">
        <v>3</v>
      </c>
      <c r="J90" s="4">
        <v>0</v>
      </c>
      <c r="K90" s="4" t="s">
        <v>3</v>
      </c>
      <c r="L90" s="5">
        <v>0</v>
      </c>
      <c r="M90" s="7"/>
      <c r="N90" s="6" t="s">
        <v>3</v>
      </c>
      <c r="O90" s="4">
        <v>0</v>
      </c>
      <c r="P90" s="4" t="s">
        <v>3</v>
      </c>
      <c r="Q90" s="4">
        <v>0</v>
      </c>
      <c r="R90" s="4" t="s">
        <v>3</v>
      </c>
      <c r="S90" s="4">
        <v>1</v>
      </c>
      <c r="T90" s="4" t="s">
        <v>3</v>
      </c>
      <c r="U90" s="5">
        <v>1</v>
      </c>
      <c r="V90" s="7"/>
      <c r="W90" s="6" t="s">
        <v>3</v>
      </c>
      <c r="X90" s="4">
        <v>0</v>
      </c>
      <c r="Y90" s="4" t="s">
        <v>3</v>
      </c>
      <c r="Z90" s="4">
        <v>0</v>
      </c>
      <c r="AA90" s="4" t="s">
        <v>3</v>
      </c>
      <c r="AB90" s="4">
        <v>1</v>
      </c>
      <c r="AC90" s="4" t="s">
        <v>3</v>
      </c>
      <c r="AD90" s="5">
        <v>1</v>
      </c>
      <c r="AE90" s="7"/>
      <c r="AF90" s="6" t="s">
        <v>3</v>
      </c>
      <c r="AG90" s="4">
        <v>0</v>
      </c>
      <c r="AH90" s="4" t="s">
        <v>3</v>
      </c>
      <c r="AI90" s="4">
        <v>0</v>
      </c>
      <c r="AJ90" s="4" t="s">
        <v>3</v>
      </c>
      <c r="AK90" s="4">
        <v>1</v>
      </c>
      <c r="AL90" s="4" t="s">
        <v>3</v>
      </c>
      <c r="AM90" s="5">
        <v>1</v>
      </c>
      <c r="AN90" s="7"/>
      <c r="AO90" s="6" t="s">
        <v>13</v>
      </c>
      <c r="AP90" s="4" t="s">
        <v>13</v>
      </c>
      <c r="AQ90" s="4" t="s">
        <v>13</v>
      </c>
      <c r="AR90" s="5" t="s">
        <v>13</v>
      </c>
      <c r="AT90" s="4" t="s">
        <v>5</v>
      </c>
      <c r="AU90" s="4" t="str">
        <f t="shared" si="17"/>
        <v>Sim</v>
      </c>
      <c r="AV90" s="4" t="s">
        <v>5</v>
      </c>
      <c r="AW90" s="4" t="str">
        <f t="shared" si="18"/>
        <v>Sim</v>
      </c>
      <c r="AX90" s="4" t="s">
        <v>5</v>
      </c>
      <c r="AY90" s="4" t="str">
        <f t="shared" si="19"/>
        <v>Sim</v>
      </c>
      <c r="AZ90" s="4" t="s">
        <v>3</v>
      </c>
      <c r="BA90" s="4" t="str">
        <f t="shared" si="20"/>
        <v>Sim</v>
      </c>
      <c r="BB90" s="4" t="s">
        <v>5</v>
      </c>
      <c r="BC90" s="4" t="str">
        <f t="shared" si="21"/>
        <v>Sim</v>
      </c>
      <c r="BD90" s="4" t="s">
        <v>5</v>
      </c>
      <c r="BE90" s="4" t="str">
        <f t="shared" si="22"/>
        <v>Sim</v>
      </c>
      <c r="BF90" s="4" t="s">
        <v>3</v>
      </c>
      <c r="BG90" s="4" t="str">
        <f t="shared" si="23"/>
        <v>Sim</v>
      </c>
      <c r="BH90" s="4" t="s">
        <v>5</v>
      </c>
      <c r="BI90" s="4" t="str">
        <f t="shared" si="24"/>
        <v>Sim</v>
      </c>
      <c r="BJ90" s="4" t="s">
        <v>5</v>
      </c>
      <c r="BK90" s="4" t="str">
        <f t="shared" si="25"/>
        <v>Sim</v>
      </c>
      <c r="BL90" s="4" t="s">
        <v>3</v>
      </c>
      <c r="BM90" s="4" t="str">
        <f t="shared" si="26"/>
        <v>Sim</v>
      </c>
      <c r="BN90" s="4" t="s">
        <v>5</v>
      </c>
      <c r="BO90" s="4" t="str">
        <f t="shared" si="27"/>
        <v>Sim</v>
      </c>
      <c r="BP90" s="4" t="s">
        <v>5</v>
      </c>
      <c r="BQ90" s="4" t="str">
        <f t="shared" si="28"/>
        <v>Sim</v>
      </c>
      <c r="BR90" s="4" t="s">
        <v>5</v>
      </c>
      <c r="BS90" s="4" t="str">
        <f t="shared" si="29"/>
        <v>Sim</v>
      </c>
      <c r="BT90" s="4" t="s">
        <v>3</v>
      </c>
      <c r="BU90" s="4" t="str">
        <f t="shared" si="30"/>
        <v>Sim</v>
      </c>
      <c r="BV90" s="4" t="s">
        <v>1</v>
      </c>
      <c r="BW90" s="4" t="str">
        <f t="shared" si="31"/>
        <v>Sim</v>
      </c>
      <c r="BX90" s="4" t="s">
        <v>5</v>
      </c>
      <c r="BY90" s="4" t="str">
        <f t="shared" si="32"/>
        <v>Sim</v>
      </c>
      <c r="BZ90" s="4" t="s">
        <v>5</v>
      </c>
      <c r="CA90" s="4" t="str">
        <f t="shared" si="33"/>
        <v>Sim</v>
      </c>
    </row>
    <row r="91" spans="2:79" ht="15.75" customHeight="1">
      <c r="B91" s="45" t="s">
        <v>77</v>
      </c>
      <c r="C91" s="44" t="s">
        <v>156</v>
      </c>
      <c r="D91" s="53" t="s">
        <v>169</v>
      </c>
      <c r="E91" s="6" t="s">
        <v>3</v>
      </c>
      <c r="F91" s="4">
        <v>0</v>
      </c>
      <c r="G91" s="4" t="s">
        <v>3</v>
      </c>
      <c r="H91" s="4">
        <v>0</v>
      </c>
      <c r="I91" s="4" t="s">
        <v>3</v>
      </c>
      <c r="J91" s="4">
        <v>0</v>
      </c>
      <c r="K91" s="4" t="s">
        <v>3</v>
      </c>
      <c r="L91" s="5">
        <v>0</v>
      </c>
      <c r="M91" s="7"/>
      <c r="N91" s="6" t="s">
        <v>3</v>
      </c>
      <c r="O91" s="4">
        <v>0</v>
      </c>
      <c r="P91" s="4" t="s">
        <v>3</v>
      </c>
      <c r="Q91" s="4">
        <v>0</v>
      </c>
      <c r="R91" s="4" t="s">
        <v>3</v>
      </c>
      <c r="S91" s="4">
        <v>0</v>
      </c>
      <c r="T91" s="4" t="s">
        <v>3</v>
      </c>
      <c r="U91" s="5">
        <v>0</v>
      </c>
      <c r="V91" s="7"/>
      <c r="W91" s="6" t="s">
        <v>3</v>
      </c>
      <c r="X91" s="4">
        <v>0</v>
      </c>
      <c r="Y91" s="4" t="s">
        <v>3</v>
      </c>
      <c r="Z91" s="4">
        <v>0</v>
      </c>
      <c r="AA91" s="4" t="s">
        <v>3</v>
      </c>
      <c r="AB91" s="4">
        <v>0</v>
      </c>
      <c r="AC91" s="4" t="s">
        <v>3</v>
      </c>
      <c r="AD91" s="5">
        <v>0</v>
      </c>
      <c r="AE91" s="7"/>
      <c r="AF91" s="6" t="s">
        <v>3</v>
      </c>
      <c r="AG91" s="4">
        <v>0</v>
      </c>
      <c r="AH91" s="4" t="s">
        <v>3</v>
      </c>
      <c r="AI91" s="4">
        <v>0</v>
      </c>
      <c r="AJ91" s="4" t="s">
        <v>3</v>
      </c>
      <c r="AK91" s="4">
        <v>0</v>
      </c>
      <c r="AL91" s="4" t="s">
        <v>3</v>
      </c>
      <c r="AM91" s="5">
        <v>0</v>
      </c>
      <c r="AN91" s="7"/>
      <c r="AO91" s="6" t="s">
        <v>13</v>
      </c>
      <c r="AP91" s="4" t="s">
        <v>13</v>
      </c>
      <c r="AQ91" s="4" t="s">
        <v>13</v>
      </c>
      <c r="AR91" s="5" t="s">
        <v>13</v>
      </c>
      <c r="AT91" s="4" t="s">
        <v>5</v>
      </c>
      <c r="AU91" s="4" t="str">
        <f t="shared" si="17"/>
        <v>Sim</v>
      </c>
      <c r="AV91" s="4" t="s">
        <v>3</v>
      </c>
      <c r="AW91" s="4" t="str">
        <f t="shared" si="18"/>
        <v>Sim</v>
      </c>
      <c r="AX91" s="4" t="s">
        <v>3</v>
      </c>
      <c r="AY91" s="4" t="str">
        <f t="shared" si="19"/>
        <v>Sim</v>
      </c>
      <c r="AZ91" s="4" t="s">
        <v>1</v>
      </c>
      <c r="BA91" s="4" t="str">
        <f t="shared" si="20"/>
        <v>Sim</v>
      </c>
      <c r="BB91" s="4" t="s">
        <v>3</v>
      </c>
      <c r="BC91" s="4" t="str">
        <f t="shared" si="21"/>
        <v>Sim</v>
      </c>
      <c r="BD91" s="4" t="s">
        <v>5</v>
      </c>
      <c r="BE91" s="4" t="str">
        <f t="shared" si="22"/>
        <v>Sim</v>
      </c>
      <c r="BF91" s="4" t="s">
        <v>1</v>
      </c>
      <c r="BG91" s="4" t="str">
        <f t="shared" si="23"/>
        <v>Sim</v>
      </c>
      <c r="BH91" s="4" t="s">
        <v>3</v>
      </c>
      <c r="BI91" s="4" t="str">
        <f t="shared" si="24"/>
        <v>Sim</v>
      </c>
      <c r="BJ91" s="4" t="s">
        <v>3</v>
      </c>
      <c r="BK91" s="4" t="str">
        <f t="shared" si="25"/>
        <v>Sim</v>
      </c>
      <c r="BL91" s="4" t="s">
        <v>1</v>
      </c>
      <c r="BM91" s="4" t="str">
        <f t="shared" si="26"/>
        <v>Sim</v>
      </c>
      <c r="BN91" s="4" t="s">
        <v>7</v>
      </c>
      <c r="BO91" s="4" t="str">
        <f t="shared" si="27"/>
        <v>Sim</v>
      </c>
      <c r="BP91" s="4" t="s">
        <v>3</v>
      </c>
      <c r="BQ91" s="4" t="str">
        <f t="shared" si="28"/>
        <v>Sim</v>
      </c>
      <c r="BR91" s="4" t="s">
        <v>3</v>
      </c>
      <c r="BS91" s="4" t="str">
        <f t="shared" si="29"/>
        <v>Sim</v>
      </c>
      <c r="BT91" s="4" t="s">
        <v>1</v>
      </c>
      <c r="BU91" s="4" t="str">
        <f t="shared" si="30"/>
        <v>Sim</v>
      </c>
      <c r="BV91" s="4" t="s">
        <v>1</v>
      </c>
      <c r="BW91" s="4" t="str">
        <f t="shared" si="31"/>
        <v>Sim</v>
      </c>
      <c r="BX91" s="4" t="s">
        <v>5</v>
      </c>
      <c r="BY91" s="4" t="str">
        <f t="shared" si="32"/>
        <v>Sim</v>
      </c>
      <c r="BZ91" s="4" t="s">
        <v>3</v>
      </c>
      <c r="CA91" s="4" t="str">
        <f t="shared" si="33"/>
        <v>Sim</v>
      </c>
    </row>
    <row r="92" spans="2:79" ht="18" customHeight="1">
      <c r="B92" s="46" t="s">
        <v>77</v>
      </c>
      <c r="C92" s="13" t="s">
        <v>156</v>
      </c>
      <c r="D92" s="54" t="s">
        <v>170</v>
      </c>
      <c r="E92" s="6" t="s">
        <v>3</v>
      </c>
      <c r="F92" s="4">
        <v>0</v>
      </c>
      <c r="G92" s="4" t="s">
        <v>3</v>
      </c>
      <c r="H92" s="4">
        <v>0</v>
      </c>
      <c r="I92" s="4" t="s">
        <v>3</v>
      </c>
      <c r="J92" s="4">
        <v>0</v>
      </c>
      <c r="K92" s="4" t="s">
        <v>3</v>
      </c>
      <c r="L92" s="5">
        <v>0</v>
      </c>
      <c r="M92" s="7"/>
      <c r="N92" s="6" t="s">
        <v>3</v>
      </c>
      <c r="O92" s="4">
        <v>0</v>
      </c>
      <c r="P92" s="4" t="s">
        <v>3</v>
      </c>
      <c r="Q92" s="4">
        <v>0</v>
      </c>
      <c r="R92" s="4" t="s">
        <v>3</v>
      </c>
      <c r="S92" s="4">
        <v>0</v>
      </c>
      <c r="T92" s="4" t="s">
        <v>3</v>
      </c>
      <c r="U92" s="5">
        <v>0</v>
      </c>
      <c r="V92" s="7"/>
      <c r="W92" s="6" t="s">
        <v>3</v>
      </c>
      <c r="X92" s="4">
        <v>0</v>
      </c>
      <c r="Y92" s="4" t="s">
        <v>3</v>
      </c>
      <c r="Z92" s="4">
        <v>0</v>
      </c>
      <c r="AA92" s="4" t="s">
        <v>3</v>
      </c>
      <c r="AB92" s="4">
        <v>0</v>
      </c>
      <c r="AC92" s="4" t="s">
        <v>3</v>
      </c>
      <c r="AD92" s="5">
        <v>0</v>
      </c>
      <c r="AE92" s="7"/>
      <c r="AF92" s="6" t="s">
        <v>3</v>
      </c>
      <c r="AG92" s="4">
        <v>0</v>
      </c>
      <c r="AH92" s="4" t="s">
        <v>3</v>
      </c>
      <c r="AI92" s="4">
        <v>0</v>
      </c>
      <c r="AJ92" s="4" t="s">
        <v>3</v>
      </c>
      <c r="AK92" s="4">
        <v>0</v>
      </c>
      <c r="AL92" s="4" t="s">
        <v>3</v>
      </c>
      <c r="AM92" s="5">
        <v>0</v>
      </c>
      <c r="AN92" s="7"/>
      <c r="AO92" s="6" t="s">
        <v>13</v>
      </c>
      <c r="AP92" s="4" t="s">
        <v>13</v>
      </c>
      <c r="AQ92" s="4" t="s">
        <v>13</v>
      </c>
      <c r="AR92" s="5" t="s">
        <v>13</v>
      </c>
      <c r="AT92" s="4" t="s">
        <v>5</v>
      </c>
      <c r="AU92" s="4" t="str">
        <f t="shared" si="17"/>
        <v>Sim</v>
      </c>
      <c r="AV92" s="4" t="s">
        <v>5</v>
      </c>
      <c r="AW92" s="4" t="str">
        <f t="shared" si="18"/>
        <v>Sim</v>
      </c>
      <c r="AX92" s="4" t="s">
        <v>5</v>
      </c>
      <c r="AY92" s="4" t="str">
        <f t="shared" si="19"/>
        <v>Sim</v>
      </c>
      <c r="AZ92" s="4" t="s">
        <v>3</v>
      </c>
      <c r="BA92" s="4" t="str">
        <f t="shared" si="20"/>
        <v>Sim</v>
      </c>
      <c r="BB92" s="4" t="s">
        <v>3</v>
      </c>
      <c r="BC92" s="4" t="str">
        <f t="shared" si="21"/>
        <v>Sim</v>
      </c>
      <c r="BD92" s="4" t="s">
        <v>7</v>
      </c>
      <c r="BE92" s="4" t="str">
        <f t="shared" si="22"/>
        <v>Sim</v>
      </c>
      <c r="BF92" s="4" t="s">
        <v>3</v>
      </c>
      <c r="BG92" s="4" t="str">
        <f t="shared" si="23"/>
        <v>Sim</v>
      </c>
      <c r="BH92" s="4" t="s">
        <v>3</v>
      </c>
      <c r="BI92" s="4" t="str">
        <f t="shared" si="24"/>
        <v>Sim</v>
      </c>
      <c r="BJ92" s="4" t="s">
        <v>3</v>
      </c>
      <c r="BK92" s="4" t="str">
        <f t="shared" si="25"/>
        <v>Sim</v>
      </c>
      <c r="BL92" s="4" t="s">
        <v>3</v>
      </c>
      <c r="BM92" s="4" t="str">
        <f t="shared" si="26"/>
        <v>Sim</v>
      </c>
      <c r="BN92" s="4" t="s">
        <v>7</v>
      </c>
      <c r="BO92" s="4" t="str">
        <f t="shared" si="27"/>
        <v>Sim</v>
      </c>
      <c r="BP92" s="4" t="s">
        <v>5</v>
      </c>
      <c r="BQ92" s="4" t="str">
        <f t="shared" si="28"/>
        <v>Sim</v>
      </c>
      <c r="BR92" s="4" t="s">
        <v>5</v>
      </c>
      <c r="BS92" s="4" t="str">
        <f t="shared" si="29"/>
        <v>Sim</v>
      </c>
      <c r="BT92" s="4" t="s">
        <v>1</v>
      </c>
      <c r="BU92" s="4" t="str">
        <f t="shared" si="30"/>
        <v>Sim</v>
      </c>
      <c r="BV92" s="4" t="s">
        <v>3</v>
      </c>
      <c r="BW92" s="4" t="str">
        <f t="shared" si="31"/>
        <v>Sim</v>
      </c>
      <c r="BX92" s="4" t="s">
        <v>5</v>
      </c>
      <c r="BY92" s="4" t="str">
        <f t="shared" si="32"/>
        <v>Sim</v>
      </c>
      <c r="BZ92" s="4" t="s">
        <v>3</v>
      </c>
      <c r="CA92" s="4" t="str">
        <f t="shared" si="33"/>
        <v>Sim</v>
      </c>
    </row>
    <row r="93" spans="2:79" ht="18" customHeight="1">
      <c r="B93" s="45" t="s">
        <v>77</v>
      </c>
      <c r="C93" s="44" t="s">
        <v>156</v>
      </c>
      <c r="D93" s="53" t="s">
        <v>171</v>
      </c>
      <c r="E93" s="6" t="s">
        <v>3</v>
      </c>
      <c r="F93" s="4">
        <v>0</v>
      </c>
      <c r="G93" s="4" t="s">
        <v>3</v>
      </c>
      <c r="H93" s="4">
        <v>0</v>
      </c>
      <c r="I93" s="4" t="s">
        <v>3</v>
      </c>
      <c r="J93" s="4">
        <v>0</v>
      </c>
      <c r="K93" s="4" t="s">
        <v>3</v>
      </c>
      <c r="L93" s="5">
        <v>0</v>
      </c>
      <c r="M93" s="7"/>
      <c r="N93" s="6" t="s">
        <v>3</v>
      </c>
      <c r="O93" s="4">
        <v>0</v>
      </c>
      <c r="P93" s="4" t="s">
        <v>3</v>
      </c>
      <c r="Q93" s="4">
        <v>0</v>
      </c>
      <c r="R93" s="4" t="s">
        <v>3</v>
      </c>
      <c r="S93" s="4">
        <v>0</v>
      </c>
      <c r="T93" s="4" t="s">
        <v>3</v>
      </c>
      <c r="U93" s="5">
        <v>0</v>
      </c>
      <c r="V93" s="7"/>
      <c r="W93" s="6" t="s">
        <v>3</v>
      </c>
      <c r="X93" s="4">
        <v>0</v>
      </c>
      <c r="Y93" s="4" t="s">
        <v>3</v>
      </c>
      <c r="Z93" s="4">
        <v>0</v>
      </c>
      <c r="AA93" s="4" t="s">
        <v>3</v>
      </c>
      <c r="AB93" s="4">
        <v>0</v>
      </c>
      <c r="AC93" s="4" t="s">
        <v>3</v>
      </c>
      <c r="AD93" s="5">
        <v>0</v>
      </c>
      <c r="AE93" s="7"/>
      <c r="AF93" s="6" t="s">
        <v>3</v>
      </c>
      <c r="AG93" s="4">
        <v>0</v>
      </c>
      <c r="AH93" s="4" t="s">
        <v>3</v>
      </c>
      <c r="AI93" s="4">
        <v>0</v>
      </c>
      <c r="AJ93" s="4" t="s">
        <v>3</v>
      </c>
      <c r="AK93" s="4">
        <v>0</v>
      </c>
      <c r="AL93" s="4" t="s">
        <v>3</v>
      </c>
      <c r="AM93" s="5">
        <v>0</v>
      </c>
      <c r="AN93" s="7"/>
      <c r="AO93" s="6" t="s">
        <v>13</v>
      </c>
      <c r="AP93" s="4" t="s">
        <v>13</v>
      </c>
      <c r="AQ93" s="4" t="s">
        <v>13</v>
      </c>
      <c r="AR93" s="5" t="s">
        <v>13</v>
      </c>
      <c r="AT93" s="4" t="s">
        <v>5</v>
      </c>
      <c r="AU93" s="4" t="str">
        <f t="shared" si="17"/>
        <v>Sim</v>
      </c>
      <c r="AV93" s="4" t="s">
        <v>5</v>
      </c>
      <c r="AW93" s="4" t="str">
        <f t="shared" si="18"/>
        <v>Sim</v>
      </c>
      <c r="AX93" s="4" t="s">
        <v>5</v>
      </c>
      <c r="AY93" s="4" t="str">
        <f t="shared" si="19"/>
        <v>Sim</v>
      </c>
      <c r="AZ93" s="4" t="s">
        <v>3</v>
      </c>
      <c r="BA93" s="4" t="str">
        <f t="shared" si="20"/>
        <v>Sim</v>
      </c>
      <c r="BB93" s="4" t="s">
        <v>3</v>
      </c>
      <c r="BC93" s="4" t="str">
        <f t="shared" si="21"/>
        <v>Sim</v>
      </c>
      <c r="BD93" s="4" t="s">
        <v>7</v>
      </c>
      <c r="BE93" s="4" t="str">
        <f t="shared" si="22"/>
        <v>Sim</v>
      </c>
      <c r="BF93" s="4" t="s">
        <v>1</v>
      </c>
      <c r="BG93" s="4" t="str">
        <f t="shared" si="23"/>
        <v>Sim</v>
      </c>
      <c r="BH93" s="4" t="s">
        <v>5</v>
      </c>
      <c r="BI93" s="4" t="str">
        <f t="shared" si="24"/>
        <v>Sim</v>
      </c>
      <c r="BJ93" s="4" t="s">
        <v>3</v>
      </c>
      <c r="BK93" s="4" t="str">
        <f t="shared" si="25"/>
        <v>Sim</v>
      </c>
      <c r="BL93" s="4" t="s">
        <v>5</v>
      </c>
      <c r="BM93" s="4" t="str">
        <f t="shared" si="26"/>
        <v>Sim</v>
      </c>
      <c r="BN93" s="4" t="s">
        <v>5</v>
      </c>
      <c r="BO93" s="4" t="str">
        <f t="shared" si="27"/>
        <v>Sim</v>
      </c>
      <c r="BP93" s="4" t="s">
        <v>5</v>
      </c>
      <c r="BQ93" s="4" t="str">
        <f t="shared" si="28"/>
        <v>Sim</v>
      </c>
      <c r="BR93" s="4" t="s">
        <v>5</v>
      </c>
      <c r="BS93" s="4" t="str">
        <f t="shared" si="29"/>
        <v>Sim</v>
      </c>
      <c r="BT93" s="4" t="s">
        <v>1</v>
      </c>
      <c r="BU93" s="4" t="str">
        <f t="shared" si="30"/>
        <v>Sim</v>
      </c>
      <c r="BV93" s="4" t="s">
        <v>1</v>
      </c>
      <c r="BW93" s="4" t="str">
        <f t="shared" si="31"/>
        <v>Sim</v>
      </c>
      <c r="BX93" s="4" t="s">
        <v>5</v>
      </c>
      <c r="BY93" s="4" t="str">
        <f t="shared" si="32"/>
        <v>Sim</v>
      </c>
      <c r="BZ93" s="4" t="s">
        <v>3</v>
      </c>
      <c r="CA93" s="4" t="str">
        <f t="shared" si="33"/>
        <v>Sim</v>
      </c>
    </row>
    <row r="94" spans="2:79" ht="15" customHeight="1">
      <c r="B94" s="46" t="s">
        <v>77</v>
      </c>
      <c r="C94" s="13" t="s">
        <v>156</v>
      </c>
      <c r="D94" s="54" t="s">
        <v>172</v>
      </c>
      <c r="E94" s="6" t="s">
        <v>3</v>
      </c>
      <c r="F94" s="4">
        <v>0</v>
      </c>
      <c r="G94" s="4" t="s">
        <v>3</v>
      </c>
      <c r="H94" s="4">
        <v>0</v>
      </c>
      <c r="I94" s="4" t="s">
        <v>3</v>
      </c>
      <c r="J94" s="4">
        <v>0</v>
      </c>
      <c r="K94" s="4" t="s">
        <v>3</v>
      </c>
      <c r="L94" s="5">
        <v>0</v>
      </c>
      <c r="M94" s="7"/>
      <c r="N94" s="6" t="s">
        <v>3</v>
      </c>
      <c r="O94" s="4">
        <v>0</v>
      </c>
      <c r="P94" s="4" t="s">
        <v>3</v>
      </c>
      <c r="Q94" s="4">
        <v>0</v>
      </c>
      <c r="R94" s="4" t="s">
        <v>3</v>
      </c>
      <c r="S94" s="4">
        <v>0</v>
      </c>
      <c r="T94" s="4" t="s">
        <v>3</v>
      </c>
      <c r="U94" s="5">
        <v>0</v>
      </c>
      <c r="V94" s="7"/>
      <c r="W94" s="6" t="s">
        <v>3</v>
      </c>
      <c r="X94" s="4">
        <v>0</v>
      </c>
      <c r="Y94" s="4" t="s">
        <v>3</v>
      </c>
      <c r="Z94" s="4">
        <v>0</v>
      </c>
      <c r="AA94" s="4" t="s">
        <v>3</v>
      </c>
      <c r="AB94" s="4">
        <v>0</v>
      </c>
      <c r="AC94" s="4" t="s">
        <v>3</v>
      </c>
      <c r="AD94" s="5">
        <v>0</v>
      </c>
      <c r="AE94" s="7"/>
      <c r="AF94" s="6" t="s">
        <v>3</v>
      </c>
      <c r="AG94" s="4">
        <v>0</v>
      </c>
      <c r="AH94" s="4" t="s">
        <v>3</v>
      </c>
      <c r="AI94" s="4">
        <v>0</v>
      </c>
      <c r="AJ94" s="4" t="s">
        <v>3</v>
      </c>
      <c r="AK94" s="4">
        <v>0</v>
      </c>
      <c r="AL94" s="4" t="s">
        <v>3</v>
      </c>
      <c r="AM94" s="5">
        <v>0</v>
      </c>
      <c r="AN94" s="7"/>
      <c r="AO94" s="6" t="s">
        <v>13</v>
      </c>
      <c r="AP94" s="4" t="s">
        <v>13</v>
      </c>
      <c r="AQ94" s="4" t="s">
        <v>13</v>
      </c>
      <c r="AR94" s="5" t="s">
        <v>13</v>
      </c>
      <c r="AT94" s="4" t="s">
        <v>5</v>
      </c>
      <c r="AU94" s="4" t="str">
        <f t="shared" si="17"/>
        <v>Sim</v>
      </c>
      <c r="AV94" s="4" t="s">
        <v>5</v>
      </c>
      <c r="AW94" s="4" t="str">
        <f t="shared" si="18"/>
        <v>Sim</v>
      </c>
      <c r="AX94" s="4" t="s">
        <v>5</v>
      </c>
      <c r="AY94" s="4" t="str">
        <f t="shared" si="19"/>
        <v>Sim</v>
      </c>
      <c r="AZ94" s="4" t="s">
        <v>3</v>
      </c>
      <c r="BA94" s="4" t="str">
        <f t="shared" si="20"/>
        <v>Sim</v>
      </c>
      <c r="BB94" s="4" t="s">
        <v>3</v>
      </c>
      <c r="BC94" s="4" t="str">
        <f t="shared" si="21"/>
        <v>Sim</v>
      </c>
      <c r="BD94" s="4" t="s">
        <v>5</v>
      </c>
      <c r="BE94" s="4" t="str">
        <f t="shared" si="22"/>
        <v>Sim</v>
      </c>
      <c r="BF94" s="4" t="s">
        <v>3</v>
      </c>
      <c r="BG94" s="4" t="str">
        <f t="shared" si="23"/>
        <v>Sim</v>
      </c>
      <c r="BH94" s="4" t="s">
        <v>3</v>
      </c>
      <c r="BI94" s="4" t="str">
        <f t="shared" si="24"/>
        <v>Sim</v>
      </c>
      <c r="BJ94" s="4" t="s">
        <v>3</v>
      </c>
      <c r="BK94" s="4" t="str">
        <f t="shared" si="25"/>
        <v>Sim</v>
      </c>
      <c r="BL94" s="4" t="s">
        <v>3</v>
      </c>
      <c r="BM94" s="4" t="str">
        <f t="shared" si="26"/>
        <v>Sim</v>
      </c>
      <c r="BN94" s="4" t="s">
        <v>5</v>
      </c>
      <c r="BO94" s="4" t="str">
        <f t="shared" si="27"/>
        <v>Sim</v>
      </c>
      <c r="BP94" s="4" t="s">
        <v>5</v>
      </c>
      <c r="BQ94" s="4" t="str">
        <f t="shared" si="28"/>
        <v>Sim</v>
      </c>
      <c r="BR94" s="4" t="s">
        <v>5</v>
      </c>
      <c r="BS94" s="4" t="str">
        <f t="shared" si="29"/>
        <v>Sim</v>
      </c>
      <c r="BT94" s="4" t="s">
        <v>3</v>
      </c>
      <c r="BU94" s="4" t="str">
        <f t="shared" si="30"/>
        <v>Sim</v>
      </c>
      <c r="BV94" s="4" t="s">
        <v>1</v>
      </c>
      <c r="BW94" s="4" t="str">
        <f t="shared" si="31"/>
        <v>Sim</v>
      </c>
      <c r="BX94" s="4" t="s">
        <v>3</v>
      </c>
      <c r="BY94" s="4" t="str">
        <f t="shared" si="32"/>
        <v>Sim</v>
      </c>
      <c r="BZ94" s="4" t="s">
        <v>5</v>
      </c>
      <c r="CA94" s="4" t="str">
        <f t="shared" si="33"/>
        <v>Sim</v>
      </c>
    </row>
    <row r="95" spans="2:79" ht="15" customHeight="1">
      <c r="B95" s="45" t="s">
        <v>77</v>
      </c>
      <c r="C95" s="44" t="s">
        <v>156</v>
      </c>
      <c r="D95" s="53" t="s">
        <v>173</v>
      </c>
      <c r="E95" s="6" t="s">
        <v>3</v>
      </c>
      <c r="F95" s="4">
        <v>0</v>
      </c>
      <c r="G95" s="4" t="s">
        <v>3</v>
      </c>
      <c r="H95" s="4">
        <v>0</v>
      </c>
      <c r="I95" s="4" t="s">
        <v>3</v>
      </c>
      <c r="J95" s="4">
        <v>0</v>
      </c>
      <c r="K95" s="4" t="s">
        <v>3</v>
      </c>
      <c r="L95" s="5">
        <v>0</v>
      </c>
      <c r="M95" s="7"/>
      <c r="N95" s="6" t="s">
        <v>3</v>
      </c>
      <c r="O95" s="4">
        <v>0</v>
      </c>
      <c r="P95" s="4" t="s">
        <v>3</v>
      </c>
      <c r="Q95" s="4">
        <v>0</v>
      </c>
      <c r="R95" s="4" t="s">
        <v>3</v>
      </c>
      <c r="S95" s="4">
        <v>0</v>
      </c>
      <c r="T95" s="4" t="s">
        <v>3</v>
      </c>
      <c r="U95" s="5">
        <v>0</v>
      </c>
      <c r="V95" s="7"/>
      <c r="W95" s="6" t="s">
        <v>3</v>
      </c>
      <c r="X95" s="4">
        <v>0</v>
      </c>
      <c r="Y95" s="4" t="s">
        <v>3</v>
      </c>
      <c r="Z95" s="4">
        <v>0</v>
      </c>
      <c r="AA95" s="4" t="s">
        <v>3</v>
      </c>
      <c r="AB95" s="4">
        <v>0</v>
      </c>
      <c r="AC95" s="4" t="s">
        <v>3</v>
      </c>
      <c r="AD95" s="5">
        <v>0</v>
      </c>
      <c r="AE95" s="7"/>
      <c r="AF95" s="6" t="s">
        <v>3</v>
      </c>
      <c r="AG95" s="4">
        <v>0</v>
      </c>
      <c r="AH95" s="4" t="s">
        <v>3</v>
      </c>
      <c r="AI95" s="4">
        <v>0</v>
      </c>
      <c r="AJ95" s="4" t="s">
        <v>3</v>
      </c>
      <c r="AK95" s="4">
        <v>0</v>
      </c>
      <c r="AL95" s="4" t="s">
        <v>3</v>
      </c>
      <c r="AM95" s="5">
        <v>0</v>
      </c>
      <c r="AN95" s="7"/>
      <c r="AO95" s="6" t="s">
        <v>13</v>
      </c>
      <c r="AP95" s="4" t="s">
        <v>13</v>
      </c>
      <c r="AQ95" s="4" t="s">
        <v>13</v>
      </c>
      <c r="AR95" s="5" t="s">
        <v>13</v>
      </c>
      <c r="AT95" s="4" t="s">
        <v>5</v>
      </c>
      <c r="AU95" s="4" t="str">
        <f t="shared" si="17"/>
        <v>Sim</v>
      </c>
      <c r="AV95" s="4" t="s">
        <v>5</v>
      </c>
      <c r="AW95" s="4" t="str">
        <f t="shared" si="18"/>
        <v>Sim</v>
      </c>
      <c r="AX95" s="4" t="s">
        <v>5</v>
      </c>
      <c r="AY95" s="4" t="str">
        <f t="shared" si="19"/>
        <v>Sim</v>
      </c>
      <c r="AZ95" s="4" t="s">
        <v>1</v>
      </c>
      <c r="BA95" s="4" t="str">
        <f t="shared" si="20"/>
        <v>Sim</v>
      </c>
      <c r="BB95" s="4" t="s">
        <v>3</v>
      </c>
      <c r="BC95" s="4" t="str">
        <f t="shared" si="21"/>
        <v>Sim</v>
      </c>
      <c r="BD95" s="4" t="s">
        <v>7</v>
      </c>
      <c r="BE95" s="4" t="str">
        <f t="shared" si="22"/>
        <v>Sim</v>
      </c>
      <c r="BF95" s="4" t="s">
        <v>3</v>
      </c>
      <c r="BG95" s="4" t="str">
        <f t="shared" si="23"/>
        <v>Sim</v>
      </c>
      <c r="BH95" s="4" t="s">
        <v>3</v>
      </c>
      <c r="BI95" s="4" t="str">
        <f t="shared" si="24"/>
        <v>Sim</v>
      </c>
      <c r="BJ95" s="4" t="s">
        <v>3</v>
      </c>
      <c r="BK95" s="4" t="str">
        <f t="shared" si="25"/>
        <v>Sim</v>
      </c>
      <c r="BL95" s="4" t="s">
        <v>1</v>
      </c>
      <c r="BM95" s="4" t="str">
        <f t="shared" si="26"/>
        <v>Sim</v>
      </c>
      <c r="BN95" s="4" t="s">
        <v>5</v>
      </c>
      <c r="BO95" s="4" t="str">
        <f t="shared" si="27"/>
        <v>Sim</v>
      </c>
      <c r="BP95" s="4" t="s">
        <v>5</v>
      </c>
      <c r="BQ95" s="4" t="str">
        <f t="shared" si="28"/>
        <v>Sim</v>
      </c>
      <c r="BR95" s="4" t="s">
        <v>5</v>
      </c>
      <c r="BS95" s="4" t="str">
        <f t="shared" si="29"/>
        <v>Sim</v>
      </c>
      <c r="BT95" s="4" t="s">
        <v>3</v>
      </c>
      <c r="BU95" s="4" t="str">
        <f t="shared" si="30"/>
        <v>Sim</v>
      </c>
      <c r="BV95" s="4" t="s">
        <v>1</v>
      </c>
      <c r="BW95" s="4" t="str">
        <f t="shared" si="31"/>
        <v>Sim</v>
      </c>
      <c r="BX95" s="4" t="s">
        <v>5</v>
      </c>
      <c r="BY95" s="4" t="str">
        <f t="shared" si="32"/>
        <v>Sim</v>
      </c>
      <c r="BZ95" s="4" t="s">
        <v>3</v>
      </c>
      <c r="CA95" s="4" t="str">
        <f t="shared" si="33"/>
        <v>Sim</v>
      </c>
    </row>
    <row r="96" spans="2:79">
      <c r="B96" s="46" t="s">
        <v>77</v>
      </c>
      <c r="C96" s="13" t="s">
        <v>156</v>
      </c>
      <c r="D96" s="54" t="s">
        <v>174</v>
      </c>
      <c r="E96" s="6" t="s">
        <v>3</v>
      </c>
      <c r="F96" s="4">
        <v>0</v>
      </c>
      <c r="G96" s="4" t="s">
        <v>3</v>
      </c>
      <c r="H96" s="4">
        <v>0</v>
      </c>
      <c r="I96" s="4" t="s">
        <v>3</v>
      </c>
      <c r="J96" s="4">
        <v>0</v>
      </c>
      <c r="K96" s="4" t="s">
        <v>3</v>
      </c>
      <c r="L96" s="5">
        <v>0</v>
      </c>
      <c r="M96" s="7"/>
      <c r="N96" s="6" t="s">
        <v>3</v>
      </c>
      <c r="O96" s="4">
        <v>0</v>
      </c>
      <c r="P96" s="4" t="s">
        <v>3</v>
      </c>
      <c r="Q96" s="4">
        <v>0</v>
      </c>
      <c r="R96" s="4" t="s">
        <v>3</v>
      </c>
      <c r="S96" s="4">
        <v>0</v>
      </c>
      <c r="T96" s="4" t="s">
        <v>3</v>
      </c>
      <c r="U96" s="5">
        <v>0</v>
      </c>
      <c r="V96" s="7"/>
      <c r="W96" s="6" t="s">
        <v>3</v>
      </c>
      <c r="X96" s="4">
        <v>0</v>
      </c>
      <c r="Y96" s="4" t="s">
        <v>3</v>
      </c>
      <c r="Z96" s="4">
        <v>0</v>
      </c>
      <c r="AA96" s="4" t="s">
        <v>3</v>
      </c>
      <c r="AB96" s="4">
        <v>0</v>
      </c>
      <c r="AC96" s="4" t="s">
        <v>3</v>
      </c>
      <c r="AD96" s="5">
        <v>0</v>
      </c>
      <c r="AE96" s="7"/>
      <c r="AF96" s="6" t="s">
        <v>3</v>
      </c>
      <c r="AG96" s="4">
        <v>0</v>
      </c>
      <c r="AH96" s="4" t="s">
        <v>3</v>
      </c>
      <c r="AI96" s="4">
        <v>0</v>
      </c>
      <c r="AJ96" s="4" t="s">
        <v>3</v>
      </c>
      <c r="AK96" s="4">
        <v>0</v>
      </c>
      <c r="AL96" s="4" t="s">
        <v>3</v>
      </c>
      <c r="AM96" s="5">
        <v>0</v>
      </c>
      <c r="AN96" s="7"/>
      <c r="AO96" s="6" t="s">
        <v>13</v>
      </c>
      <c r="AP96" s="4" t="s">
        <v>13</v>
      </c>
      <c r="AQ96" s="4" t="s">
        <v>13</v>
      </c>
      <c r="AR96" s="5" t="s">
        <v>13</v>
      </c>
      <c r="AT96" s="4" t="s">
        <v>3</v>
      </c>
      <c r="AU96" s="4" t="str">
        <f t="shared" si="17"/>
        <v>Sim</v>
      </c>
      <c r="AV96" s="4" t="s">
        <v>3</v>
      </c>
      <c r="AW96" s="4" t="str">
        <f t="shared" si="18"/>
        <v>Sim</v>
      </c>
      <c r="AX96" s="4" t="s">
        <v>5</v>
      </c>
      <c r="AY96" s="4" t="str">
        <f t="shared" si="19"/>
        <v>Sim</v>
      </c>
      <c r="AZ96" s="4" t="s">
        <v>3</v>
      </c>
      <c r="BA96" s="4" t="str">
        <f t="shared" si="20"/>
        <v>Sim</v>
      </c>
      <c r="BB96" s="4" t="s">
        <v>7</v>
      </c>
      <c r="BC96" s="4" t="str">
        <f t="shared" si="21"/>
        <v>Sim</v>
      </c>
      <c r="BD96" s="4" t="s">
        <v>5</v>
      </c>
      <c r="BE96" s="4" t="str">
        <f t="shared" si="22"/>
        <v>Sim</v>
      </c>
      <c r="BF96" s="4" t="s">
        <v>3</v>
      </c>
      <c r="BG96" s="4" t="str">
        <f t="shared" si="23"/>
        <v>Sim</v>
      </c>
      <c r="BH96" s="4" t="s">
        <v>7</v>
      </c>
      <c r="BI96" s="4" t="str">
        <f t="shared" si="24"/>
        <v>Sim</v>
      </c>
      <c r="BJ96" s="4" t="s">
        <v>3</v>
      </c>
      <c r="BK96" s="4" t="str">
        <f t="shared" si="25"/>
        <v>Sim</v>
      </c>
      <c r="BL96" s="4" t="s">
        <v>1</v>
      </c>
      <c r="BM96" s="4" t="str">
        <f t="shared" si="26"/>
        <v>Sim</v>
      </c>
      <c r="BN96" s="4" t="s">
        <v>5</v>
      </c>
      <c r="BO96" s="4" t="str">
        <f t="shared" si="27"/>
        <v>Sim</v>
      </c>
      <c r="BP96" s="4" t="s">
        <v>5</v>
      </c>
      <c r="BQ96" s="4" t="str">
        <f t="shared" si="28"/>
        <v>Sim</v>
      </c>
      <c r="BR96" s="4" t="s">
        <v>5</v>
      </c>
      <c r="BS96" s="4" t="str">
        <f t="shared" si="29"/>
        <v>Sim</v>
      </c>
      <c r="BT96" s="4" t="s">
        <v>3</v>
      </c>
      <c r="BU96" s="4" t="str">
        <f t="shared" si="30"/>
        <v>Sim</v>
      </c>
      <c r="BV96" s="4" t="s">
        <v>1</v>
      </c>
      <c r="BW96" s="4" t="str">
        <f t="shared" si="31"/>
        <v>Sim</v>
      </c>
      <c r="BX96" s="4" t="s">
        <v>5</v>
      </c>
      <c r="BY96" s="4" t="str">
        <f t="shared" si="32"/>
        <v>Sim</v>
      </c>
      <c r="BZ96" s="4" t="s">
        <v>3</v>
      </c>
      <c r="CA96" s="4" t="str">
        <f t="shared" si="33"/>
        <v>Sim</v>
      </c>
    </row>
    <row r="97" spans="2:79">
      <c r="B97" s="45" t="s">
        <v>77</v>
      </c>
      <c r="C97" s="44" t="s">
        <v>156</v>
      </c>
      <c r="D97" s="53" t="s">
        <v>175</v>
      </c>
      <c r="E97" s="6" t="s">
        <v>3</v>
      </c>
      <c r="F97" s="4">
        <v>0</v>
      </c>
      <c r="G97" s="4" t="s">
        <v>3</v>
      </c>
      <c r="H97" s="4">
        <v>0</v>
      </c>
      <c r="I97" s="4" t="s">
        <v>3</v>
      </c>
      <c r="J97" s="4">
        <v>0</v>
      </c>
      <c r="K97" s="4" t="s">
        <v>3</v>
      </c>
      <c r="L97" s="5">
        <v>0</v>
      </c>
      <c r="M97" s="7"/>
      <c r="N97" s="6" t="s">
        <v>3</v>
      </c>
      <c r="O97" s="4">
        <v>0</v>
      </c>
      <c r="P97" s="4" t="s">
        <v>3</v>
      </c>
      <c r="Q97" s="4">
        <v>0</v>
      </c>
      <c r="R97" s="4" t="s">
        <v>3</v>
      </c>
      <c r="S97" s="4">
        <v>0</v>
      </c>
      <c r="T97" s="4" t="s">
        <v>3</v>
      </c>
      <c r="U97" s="5">
        <v>0</v>
      </c>
      <c r="V97" s="7"/>
      <c r="W97" s="6" t="s">
        <v>3</v>
      </c>
      <c r="X97" s="4">
        <v>0</v>
      </c>
      <c r="Y97" s="4" t="s">
        <v>3</v>
      </c>
      <c r="Z97" s="4">
        <v>0</v>
      </c>
      <c r="AA97" s="4" t="s">
        <v>3</v>
      </c>
      <c r="AB97" s="4">
        <v>0</v>
      </c>
      <c r="AC97" s="4" t="s">
        <v>3</v>
      </c>
      <c r="AD97" s="5">
        <v>0</v>
      </c>
      <c r="AE97" s="7"/>
      <c r="AF97" s="6" t="s">
        <v>3</v>
      </c>
      <c r="AG97" s="4">
        <v>0</v>
      </c>
      <c r="AH97" s="4" t="s">
        <v>3</v>
      </c>
      <c r="AI97" s="4">
        <v>0</v>
      </c>
      <c r="AJ97" s="4" t="s">
        <v>3</v>
      </c>
      <c r="AK97" s="4">
        <v>0</v>
      </c>
      <c r="AL97" s="4" t="s">
        <v>3</v>
      </c>
      <c r="AM97" s="5">
        <v>0</v>
      </c>
      <c r="AN97" s="7"/>
      <c r="AO97" s="6" t="s">
        <v>13</v>
      </c>
      <c r="AP97" s="4" t="s">
        <v>13</v>
      </c>
      <c r="AQ97" s="4" t="s">
        <v>13</v>
      </c>
      <c r="AR97" s="5" t="s">
        <v>13</v>
      </c>
      <c r="AT97" s="4" t="s">
        <v>3</v>
      </c>
      <c r="AU97" s="4" t="str">
        <f t="shared" si="17"/>
        <v>Sim</v>
      </c>
      <c r="AV97" s="4" t="s">
        <v>5</v>
      </c>
      <c r="AW97" s="4" t="str">
        <f t="shared" si="18"/>
        <v>Sim</v>
      </c>
      <c r="AX97" s="4" t="s">
        <v>3</v>
      </c>
      <c r="AY97" s="4" t="str">
        <f t="shared" si="19"/>
        <v>Sim</v>
      </c>
      <c r="AZ97" s="4" t="s">
        <v>3</v>
      </c>
      <c r="BA97" s="4" t="str">
        <f t="shared" si="20"/>
        <v>Sim</v>
      </c>
      <c r="BB97" s="4" t="s">
        <v>3</v>
      </c>
      <c r="BC97" s="4" t="str">
        <f t="shared" si="21"/>
        <v>Sim</v>
      </c>
      <c r="BD97" s="4" t="s">
        <v>5</v>
      </c>
      <c r="BE97" s="4" t="str">
        <f t="shared" si="22"/>
        <v>Sim</v>
      </c>
      <c r="BF97" s="4" t="s">
        <v>3</v>
      </c>
      <c r="BG97" s="4" t="str">
        <f t="shared" si="23"/>
        <v>Sim</v>
      </c>
      <c r="BH97" s="4" t="s">
        <v>5</v>
      </c>
      <c r="BI97" s="4" t="str">
        <f t="shared" si="24"/>
        <v>Sim</v>
      </c>
      <c r="BJ97" s="4" t="s">
        <v>5</v>
      </c>
      <c r="BK97" s="4" t="str">
        <f t="shared" si="25"/>
        <v>Sim</v>
      </c>
      <c r="BL97" s="4" t="s">
        <v>3</v>
      </c>
      <c r="BM97" s="4" t="str">
        <f t="shared" si="26"/>
        <v>Sim</v>
      </c>
      <c r="BN97" s="4" t="s">
        <v>7</v>
      </c>
      <c r="BO97" s="4" t="str">
        <f t="shared" si="27"/>
        <v>Sim</v>
      </c>
      <c r="BP97" s="4" t="s">
        <v>5</v>
      </c>
      <c r="BQ97" s="4" t="str">
        <f t="shared" si="28"/>
        <v>Sim</v>
      </c>
      <c r="BR97" s="4" t="s">
        <v>5</v>
      </c>
      <c r="BS97" s="4" t="str">
        <f t="shared" si="29"/>
        <v>Sim</v>
      </c>
      <c r="BT97" s="4" t="s">
        <v>1</v>
      </c>
      <c r="BU97" s="4" t="str">
        <f t="shared" si="30"/>
        <v>Sim</v>
      </c>
      <c r="BV97" s="4" t="s">
        <v>3</v>
      </c>
      <c r="BW97" s="4" t="str">
        <f t="shared" si="31"/>
        <v>Sim</v>
      </c>
      <c r="BX97" s="4" t="s">
        <v>5</v>
      </c>
      <c r="BY97" s="4" t="str">
        <f t="shared" si="32"/>
        <v>Sim</v>
      </c>
      <c r="BZ97" s="4" t="s">
        <v>3</v>
      </c>
      <c r="CA97" s="4" t="str">
        <f t="shared" si="33"/>
        <v>Sim</v>
      </c>
    </row>
    <row r="98" spans="2:79">
      <c r="B98" s="46" t="s">
        <v>77</v>
      </c>
      <c r="C98" s="13" t="s">
        <v>156</v>
      </c>
      <c r="D98" s="54" t="s">
        <v>176</v>
      </c>
      <c r="E98" s="6" t="s">
        <v>3</v>
      </c>
      <c r="F98" s="4">
        <v>0</v>
      </c>
      <c r="G98" s="4" t="s">
        <v>3</v>
      </c>
      <c r="H98" s="4">
        <v>0</v>
      </c>
      <c r="I98" s="4" t="s">
        <v>3</v>
      </c>
      <c r="J98" s="4">
        <v>0</v>
      </c>
      <c r="K98" s="4" t="s">
        <v>3</v>
      </c>
      <c r="L98" s="5">
        <v>0</v>
      </c>
      <c r="M98" s="7"/>
      <c r="N98" s="6" t="s">
        <v>3</v>
      </c>
      <c r="O98" s="4">
        <v>0</v>
      </c>
      <c r="P98" s="4" t="s">
        <v>3</v>
      </c>
      <c r="Q98" s="4">
        <v>0</v>
      </c>
      <c r="R98" s="4" t="s">
        <v>3</v>
      </c>
      <c r="S98" s="4">
        <v>0</v>
      </c>
      <c r="T98" s="4" t="s">
        <v>3</v>
      </c>
      <c r="U98" s="5">
        <v>0</v>
      </c>
      <c r="V98" s="7"/>
      <c r="W98" s="6" t="s">
        <v>3</v>
      </c>
      <c r="X98" s="4">
        <v>0</v>
      </c>
      <c r="Y98" s="4" t="s">
        <v>3</v>
      </c>
      <c r="Z98" s="4">
        <v>0</v>
      </c>
      <c r="AA98" s="4" t="s">
        <v>3</v>
      </c>
      <c r="AB98" s="4">
        <v>0</v>
      </c>
      <c r="AC98" s="4" t="s">
        <v>3</v>
      </c>
      <c r="AD98" s="5">
        <v>0</v>
      </c>
      <c r="AE98" s="7"/>
      <c r="AF98" s="6" t="s">
        <v>3</v>
      </c>
      <c r="AG98" s="4">
        <v>0</v>
      </c>
      <c r="AH98" s="4" t="s">
        <v>3</v>
      </c>
      <c r="AI98" s="4">
        <v>0</v>
      </c>
      <c r="AJ98" s="4" t="s">
        <v>3</v>
      </c>
      <c r="AK98" s="4">
        <v>0</v>
      </c>
      <c r="AL98" s="4" t="s">
        <v>3</v>
      </c>
      <c r="AM98" s="5">
        <v>0</v>
      </c>
      <c r="AN98" s="7"/>
      <c r="AO98" s="6" t="s">
        <v>13</v>
      </c>
      <c r="AP98" s="4" t="s">
        <v>13</v>
      </c>
      <c r="AQ98" s="4" t="s">
        <v>13</v>
      </c>
      <c r="AR98" s="5" t="s">
        <v>13</v>
      </c>
      <c r="AT98" s="4" t="s">
        <v>5</v>
      </c>
      <c r="AU98" s="4" t="str">
        <f t="shared" si="17"/>
        <v>Sim</v>
      </c>
      <c r="AV98" s="4" t="s">
        <v>5</v>
      </c>
      <c r="AW98" s="4" t="str">
        <f t="shared" si="18"/>
        <v>Sim</v>
      </c>
      <c r="AX98" s="4" t="s">
        <v>5</v>
      </c>
      <c r="AY98" s="4" t="str">
        <f t="shared" si="19"/>
        <v>Sim</v>
      </c>
      <c r="AZ98" s="4" t="s">
        <v>1</v>
      </c>
      <c r="BA98" s="4" t="str">
        <f t="shared" si="20"/>
        <v>Sim</v>
      </c>
      <c r="BB98" s="4" t="s">
        <v>5</v>
      </c>
      <c r="BC98" s="4" t="str">
        <f t="shared" si="21"/>
        <v>Sim</v>
      </c>
      <c r="BD98" s="4" t="s">
        <v>7</v>
      </c>
      <c r="BE98" s="4" t="str">
        <f t="shared" si="22"/>
        <v>Sim</v>
      </c>
      <c r="BF98" s="4" t="s">
        <v>3</v>
      </c>
      <c r="BG98" s="4" t="str">
        <f t="shared" si="23"/>
        <v>Sim</v>
      </c>
      <c r="BH98" s="4" t="s">
        <v>5</v>
      </c>
      <c r="BI98" s="4" t="str">
        <f t="shared" si="24"/>
        <v>Sim</v>
      </c>
      <c r="BJ98" s="4" t="s">
        <v>7</v>
      </c>
      <c r="BK98" s="4" t="str">
        <f t="shared" si="25"/>
        <v>Sim</v>
      </c>
      <c r="BL98" s="4" t="s">
        <v>3</v>
      </c>
      <c r="BM98" s="4" t="str">
        <f t="shared" si="26"/>
        <v>Sim</v>
      </c>
      <c r="BN98" s="4" t="s">
        <v>7</v>
      </c>
      <c r="BO98" s="4" t="str">
        <f t="shared" si="27"/>
        <v>Sim</v>
      </c>
      <c r="BP98" s="4" t="s">
        <v>3</v>
      </c>
      <c r="BQ98" s="4" t="str">
        <f t="shared" si="28"/>
        <v>Sim</v>
      </c>
      <c r="BR98" s="4" t="s">
        <v>5</v>
      </c>
      <c r="BS98" s="4" t="str">
        <f t="shared" si="29"/>
        <v>Sim</v>
      </c>
      <c r="BT98" s="4" t="s">
        <v>1</v>
      </c>
      <c r="BU98" s="4" t="str">
        <f t="shared" si="30"/>
        <v>Sim</v>
      </c>
      <c r="BV98" s="4" t="s">
        <v>1</v>
      </c>
      <c r="BW98" s="4" t="str">
        <f t="shared" si="31"/>
        <v>Sim</v>
      </c>
      <c r="BX98" s="4" t="s">
        <v>5</v>
      </c>
      <c r="BY98" s="4" t="str">
        <f t="shared" si="32"/>
        <v>Sim</v>
      </c>
      <c r="BZ98" s="4" t="s">
        <v>3</v>
      </c>
      <c r="CA98" s="4" t="str">
        <f t="shared" si="33"/>
        <v>Sim</v>
      </c>
    </row>
    <row r="99" spans="2:79">
      <c r="B99" s="45" t="s">
        <v>77</v>
      </c>
      <c r="C99" s="44" t="s">
        <v>156</v>
      </c>
      <c r="D99" s="53" t="s">
        <v>177</v>
      </c>
      <c r="E99" s="6" t="s">
        <v>3</v>
      </c>
      <c r="F99" s="4">
        <v>0</v>
      </c>
      <c r="G99" s="4" t="s">
        <v>3</v>
      </c>
      <c r="H99" s="4">
        <v>0</v>
      </c>
      <c r="I99" s="4" t="s">
        <v>3</v>
      </c>
      <c r="J99" s="4">
        <v>0</v>
      </c>
      <c r="K99" s="4" t="s">
        <v>3</v>
      </c>
      <c r="L99" s="5">
        <v>0</v>
      </c>
      <c r="M99" s="7"/>
      <c r="N99" s="6" t="s">
        <v>3</v>
      </c>
      <c r="O99" s="4">
        <v>0</v>
      </c>
      <c r="P99" s="4" t="s">
        <v>3</v>
      </c>
      <c r="Q99" s="4">
        <v>0</v>
      </c>
      <c r="R99" s="4" t="s">
        <v>3</v>
      </c>
      <c r="S99" s="4">
        <v>0</v>
      </c>
      <c r="T99" s="4" t="s">
        <v>3</v>
      </c>
      <c r="U99" s="5">
        <v>0</v>
      </c>
      <c r="V99" s="7"/>
      <c r="W99" s="6" t="s">
        <v>3</v>
      </c>
      <c r="X99" s="4">
        <v>0</v>
      </c>
      <c r="Y99" s="4" t="s">
        <v>3</v>
      </c>
      <c r="Z99" s="4">
        <v>0</v>
      </c>
      <c r="AA99" s="4" t="s">
        <v>3</v>
      </c>
      <c r="AB99" s="4">
        <v>0</v>
      </c>
      <c r="AC99" s="4" t="s">
        <v>3</v>
      </c>
      <c r="AD99" s="5">
        <v>0</v>
      </c>
      <c r="AE99" s="7"/>
      <c r="AF99" s="6" t="s">
        <v>3</v>
      </c>
      <c r="AG99" s="4">
        <v>0</v>
      </c>
      <c r="AH99" s="4" t="s">
        <v>3</v>
      </c>
      <c r="AI99" s="4">
        <v>0</v>
      </c>
      <c r="AJ99" s="4" t="s">
        <v>3</v>
      </c>
      <c r="AK99" s="4">
        <v>0</v>
      </c>
      <c r="AL99" s="4" t="s">
        <v>3</v>
      </c>
      <c r="AM99" s="5">
        <v>0</v>
      </c>
      <c r="AN99" s="7"/>
      <c r="AO99" s="6" t="s">
        <v>13</v>
      </c>
      <c r="AP99" s="4" t="s">
        <v>13</v>
      </c>
      <c r="AQ99" s="4" t="s">
        <v>13</v>
      </c>
      <c r="AR99" s="5" t="s">
        <v>13</v>
      </c>
      <c r="AT99" s="4" t="s">
        <v>5</v>
      </c>
      <c r="AU99" s="4" t="str">
        <f t="shared" si="17"/>
        <v>Sim</v>
      </c>
      <c r="AV99" s="4" t="s">
        <v>5</v>
      </c>
      <c r="AW99" s="4" t="str">
        <f t="shared" si="18"/>
        <v>Sim</v>
      </c>
      <c r="AX99" s="4" t="s">
        <v>5</v>
      </c>
      <c r="AY99" s="4" t="str">
        <f t="shared" si="19"/>
        <v>Sim</v>
      </c>
      <c r="AZ99" s="4" t="s">
        <v>3</v>
      </c>
      <c r="BA99" s="4" t="str">
        <f t="shared" si="20"/>
        <v>Sim</v>
      </c>
      <c r="BB99" s="4" t="s">
        <v>5</v>
      </c>
      <c r="BC99" s="4" t="str">
        <f t="shared" si="21"/>
        <v>Sim</v>
      </c>
      <c r="BD99" s="4" t="s">
        <v>5</v>
      </c>
      <c r="BE99" s="4" t="str">
        <f t="shared" si="22"/>
        <v>Sim</v>
      </c>
      <c r="BF99" s="4" t="s">
        <v>3</v>
      </c>
      <c r="BG99" s="4" t="str">
        <f t="shared" si="23"/>
        <v>Sim</v>
      </c>
      <c r="BH99" s="4" t="s">
        <v>5</v>
      </c>
      <c r="BI99" s="4" t="str">
        <f t="shared" si="24"/>
        <v>Sim</v>
      </c>
      <c r="BJ99" s="4" t="s">
        <v>7</v>
      </c>
      <c r="BK99" s="4" t="str">
        <f t="shared" si="25"/>
        <v>Sim</v>
      </c>
      <c r="BL99" s="4" t="s">
        <v>3</v>
      </c>
      <c r="BM99" s="4" t="str">
        <f t="shared" si="26"/>
        <v>Sim</v>
      </c>
      <c r="BN99" s="4" t="s">
        <v>7</v>
      </c>
      <c r="BO99" s="4" t="str">
        <f t="shared" si="27"/>
        <v>Sim</v>
      </c>
      <c r="BP99" s="4" t="s">
        <v>5</v>
      </c>
      <c r="BQ99" s="4" t="str">
        <f t="shared" si="28"/>
        <v>Sim</v>
      </c>
      <c r="BR99" s="4" t="s">
        <v>5</v>
      </c>
      <c r="BS99" s="4" t="str">
        <f t="shared" si="29"/>
        <v>Sim</v>
      </c>
      <c r="BT99" s="4" t="s">
        <v>3</v>
      </c>
      <c r="BU99" s="4" t="str">
        <f t="shared" si="30"/>
        <v>Sim</v>
      </c>
      <c r="BV99" s="4" t="s">
        <v>3</v>
      </c>
      <c r="BW99" s="4" t="str">
        <f t="shared" si="31"/>
        <v>Sim</v>
      </c>
      <c r="BX99" s="4" t="s">
        <v>5</v>
      </c>
      <c r="BY99" s="4" t="str">
        <f t="shared" si="32"/>
        <v>Sim</v>
      </c>
      <c r="BZ99" s="4" t="s">
        <v>3</v>
      </c>
      <c r="CA99" s="4" t="str">
        <f t="shared" si="33"/>
        <v>Sim</v>
      </c>
    </row>
    <row r="100" spans="2:79">
      <c r="B100" s="46" t="s">
        <v>77</v>
      </c>
      <c r="C100" s="13" t="s">
        <v>156</v>
      </c>
      <c r="D100" s="54" t="s">
        <v>178</v>
      </c>
      <c r="E100" s="6" t="s">
        <v>3</v>
      </c>
      <c r="F100" s="4">
        <v>0</v>
      </c>
      <c r="G100" s="4" t="s">
        <v>3</v>
      </c>
      <c r="H100" s="4">
        <v>0</v>
      </c>
      <c r="I100" s="4" t="s">
        <v>3</v>
      </c>
      <c r="J100" s="4">
        <v>0</v>
      </c>
      <c r="K100" s="4" t="s">
        <v>3</v>
      </c>
      <c r="L100" s="5">
        <v>0</v>
      </c>
      <c r="M100" s="7"/>
      <c r="N100" s="6" t="s">
        <v>3</v>
      </c>
      <c r="O100" s="4">
        <v>0</v>
      </c>
      <c r="P100" s="4" t="s">
        <v>3</v>
      </c>
      <c r="Q100" s="4">
        <v>0</v>
      </c>
      <c r="R100" s="4" t="s">
        <v>3</v>
      </c>
      <c r="S100" s="4">
        <v>0</v>
      </c>
      <c r="T100" s="4" t="s">
        <v>3</v>
      </c>
      <c r="U100" s="5">
        <v>0</v>
      </c>
      <c r="V100" s="7"/>
      <c r="W100" s="6" t="s">
        <v>3</v>
      </c>
      <c r="X100" s="4">
        <v>0</v>
      </c>
      <c r="Y100" s="4" t="s">
        <v>3</v>
      </c>
      <c r="Z100" s="4">
        <v>0</v>
      </c>
      <c r="AA100" s="4" t="s">
        <v>3</v>
      </c>
      <c r="AB100" s="4">
        <v>0</v>
      </c>
      <c r="AC100" s="4" t="s">
        <v>3</v>
      </c>
      <c r="AD100" s="5">
        <v>0</v>
      </c>
      <c r="AE100" s="7"/>
      <c r="AF100" s="6" t="s">
        <v>3</v>
      </c>
      <c r="AG100" s="4">
        <v>0</v>
      </c>
      <c r="AH100" s="4" t="s">
        <v>3</v>
      </c>
      <c r="AI100" s="4">
        <v>0</v>
      </c>
      <c r="AJ100" s="4" t="s">
        <v>3</v>
      </c>
      <c r="AK100" s="4">
        <v>0</v>
      </c>
      <c r="AL100" s="4" t="s">
        <v>3</v>
      </c>
      <c r="AM100" s="5">
        <v>0</v>
      </c>
      <c r="AN100" s="7"/>
      <c r="AO100" s="6" t="s">
        <v>13</v>
      </c>
      <c r="AP100" s="4" t="s">
        <v>13</v>
      </c>
      <c r="AQ100" s="4" t="s">
        <v>13</v>
      </c>
      <c r="AR100" s="5" t="s">
        <v>13</v>
      </c>
      <c r="AT100" s="4" t="s">
        <v>5</v>
      </c>
      <c r="AU100" s="4" t="str">
        <f>IF($P100="N", "N",
    IF($B100="Não", "Sim",
        IF(OR(
            AT100=$P100,
            AND($P100="B", OR(AT100="B", AT100="P", AT100="O")),
            AND($P100="P", OR(AT100="P", AT100="O")),
            AND($P100="O", AT100="O")), "Sim", "Não")
    )
)</f>
        <v>Sim</v>
      </c>
      <c r="AV100" s="4" t="s">
        <v>3</v>
      </c>
      <c r="AW100" s="4" t="str">
        <f>IF($I100="N", "N",
    IF($B100="Não", "Sim",
        IF(OR(
            AV100=$I100,
            AND($I100="B", OR(AV100="B", AV100="P", AV100="O")),
            AND($I100="P", OR(AV100="P", AV100="O")),
            AND($I100="O", AV100="O")), "Sim", "Não")
    )
)</f>
        <v>Sim</v>
      </c>
      <c r="AX100" s="4" t="s">
        <v>5</v>
      </c>
      <c r="AY100" s="4" t="str">
        <f>IF($R100="N", "N",
    IF($B100="Não", "Sim",
        IF(OR(
            AX100=$R100,
            AND($R100="B", OR(AX100="B", AX100="P", AX100="O")),
            AND($R100="P", OR(AX100="P", AX100="O")),
            AND($R100="O", AX100="O")), "Sim", "Não")
    )
)</f>
        <v>Sim</v>
      </c>
      <c r="AZ100" s="4" t="s">
        <v>1</v>
      </c>
      <c r="BA100" s="4" t="str">
        <f>IF($I100="N", "N",
    IF($B100="Não", "Sim",
        IF(OR(
            AZ100=$I100,
            AND($I100="B", OR(AZ100="B", AZ100="P", AZ100="O")),
            AND($I100="P", OR(AZ100="P", AZ100="O")),
            AND($I100="O", AZ100="O")), "Sim", "Não")
    )
)</f>
        <v>Sim</v>
      </c>
      <c r="BB100" s="4" t="s">
        <v>3</v>
      </c>
      <c r="BC100" s="4" t="str">
        <f>IF($AJ100="N", "N",
    IF($B100="Não", "Sim",
        IF(OR(
            BB100=$AJ100,
            AND($AJ100="B", OR(BB100="B", BB100="P", BB100="O")),
            AND($AJ100="P", OR(BB100="P", BB100="O")),
            AND($AJ100="O", BB100="O")), "Sim", "Não")
    )
)</f>
        <v>Sim</v>
      </c>
      <c r="BD100" s="4" t="s">
        <v>7</v>
      </c>
      <c r="BE100" s="4" t="str">
        <f>IF($AC100="N", "N",
    IF($B100="Não", "Sim",
        IF(OR(
            BD100=$AC100,
            AND($AC100="B", OR(BD100="B", BD100="P", BD100="O")),
            AND($AC100="P", OR(BD100="P", BD100="O")),
            AND($AC100="O", BD100="O")), "Sim", "Não")
    )
)</f>
        <v>Sim</v>
      </c>
      <c r="BF100" s="4" t="s">
        <v>1</v>
      </c>
      <c r="BG100" s="4" t="str">
        <f>IF($Y100="N", "N",
    IF($B100="Não", "Sim",
        IF(OR(
            BF100=$Y100,
            AND($Y100="B", OR(BF100="B", BF100="P", BF100="O")),
            AND($Y100="P", OR(BF100="P", BF100="O")),
            AND($Y100="O", BF100="O")), "Sim", "Não")
    )
)</f>
        <v>Sim</v>
      </c>
      <c r="BH100" s="4" t="s">
        <v>3</v>
      </c>
      <c r="BI100" s="4" t="str">
        <f>IF($K100="N", "N",
    IF($B100="Não", "Sim",
        IF(OR(
            BH100=$K100,
            AND($K100="B", OR(BH100="B", BH100="P", BH100="O")),
            AND($K100="P", OR(BH100="P", BH100="O")),
            AND($K100="O", BH100="O")), "Sim", "Não")
    )
)</f>
        <v>Sim</v>
      </c>
      <c r="BJ100" s="4" t="s">
        <v>3</v>
      </c>
      <c r="BK100" s="4" t="str">
        <f>IF($Y100="N", "N",
    IF($B100="Não", "Sim",
        IF(OR(
            BJ100=$Y100,
            AND($Y100="B", OR(BJ100="B", BJ100="P", BJ100="O")),
            AND($Y100="P", OR(BJ100="P", BJ100="O")),
            AND($Y100="O", BJ100="O")), "Sim", "Não")
    )
)</f>
        <v>Sim</v>
      </c>
      <c r="BL100" s="4" t="s">
        <v>3</v>
      </c>
      <c r="BM100" s="4" t="str">
        <f>IF($Y100="N", "N",
    IF($B100="Não", "Sim",
        IF(OR(
            BL100=$Y100,
            AND($Y100="B", OR(BL100="B", BL100="P", BL100="O")),
            AND($Y100="P", OR(BL100="P", BL100="O")),
            AND($Y100="O", BL100="O")), "Sim", "Não")
    )
)</f>
        <v>Sim</v>
      </c>
      <c r="BN100" s="4" t="s">
        <v>5</v>
      </c>
      <c r="BO100" s="4" t="str">
        <f>IF($AJ100="N", "N",
    IF($B100="Não", "Sim",
        IF(OR(
            BN100=$AJ100,
            AND($AJ100="B", OR(BN100="B", BN100="P", BN100="O")),
            AND($AJ100="P", OR(BN100="P", BN100="O")),
            AND($AJ100="O", BN100="O")), "Sim", "Não")
    )
)</f>
        <v>Sim</v>
      </c>
      <c r="BP100" s="4" t="s">
        <v>5</v>
      </c>
      <c r="BQ100" s="4" t="str">
        <f>IF($T100="N", "N",
    IF($B100="Não", "Sim",
        IF(OR(
            BP100=$T100,
            AND($T100="B", OR(BP100="B", BP100="P", BP100="O")),
            AND($T100="P", OR(BP100="P", BP100="O")),
            AND($T100="O", BP100="O")), "Sim", "Não")
    )
)</f>
        <v>Sim</v>
      </c>
      <c r="BR100" s="4" t="s">
        <v>3</v>
      </c>
      <c r="BS100" s="4" t="str">
        <f>IF($I100="N", "N",
    IF($B100="Não", "Sim",
        IF(OR(
            BR100=$I100,
            AND($I100="B", OR(BR100="B", BR100="P", BR100="O")),
            AND($I100="P", OR(BR100="P", BR100="O")),
            AND($I100="O", BR100="O")), "Sim", "Não")
    )
)</f>
        <v>Sim</v>
      </c>
      <c r="BT100" s="4" t="s">
        <v>1</v>
      </c>
      <c r="BU100" s="4" t="str">
        <f>IF($G100="N", "N",
    IF($B100="Não", "Sim",
        IF(OR(
            BT100=$G100,
            AND($G100="B", OR(BT100="B", BT100="P", BT100="O")),
            AND($G100="P", OR(BT100="P", BT100="O")),
            AND($G100="O", BT100="O")), "Sim", "Não")
    )
)</f>
        <v>Sim</v>
      </c>
      <c r="BV100" s="4" t="s">
        <v>1</v>
      </c>
      <c r="BW100" s="4" t="str">
        <f>IF($G100="N", "N",
    IF($B100="Não", "Sim",
        IF(OR(
            BV100=$G100,
            AND($G100="B", OR(BV100="B", BV100="P", BV100="O")),
            AND($G100="P", OR(BV100="P", BV100="O")),
            AND($G100="O", BV100="O")), "Sim", "Não")
    )
)</f>
        <v>Sim</v>
      </c>
      <c r="BX100" s="4" t="s">
        <v>5</v>
      </c>
      <c r="BY100" s="4" t="str">
        <f>IF($P100="N", "N",
    IF($B100="Não", "Sim",
        IF(OR(
            BX100=$P100,
            AND($P100="B", OR(BX100="B", BX100="P", BX100="O")),
            AND($P100="P", OR(BX100="P", BX100="O")),
            AND($P100="O", BX100="O")), "Sim", "Não")
    )
)</f>
        <v>Sim</v>
      </c>
      <c r="BZ100" s="4" t="s">
        <v>3</v>
      </c>
      <c r="CA100" s="4" t="str">
        <f>IF($G100="N", "N",
    IF($B100="Não", "Sim",
        IF(OR(
            BZ100=$G100,
            AND($G100="B", OR(BZ100="B", BZ100="P", BZ100="O")),
            AND($G100="P", OR(BZ100="P", BZ100="O")),
            AND($G100="O", BZ100="O")), "Sim", "Não")
    )
)</f>
        <v>Sim</v>
      </c>
    </row>
    <row r="101" spans="2:79">
      <c r="B101" s="45" t="s">
        <v>77</v>
      </c>
      <c r="C101" s="44" t="s">
        <v>156</v>
      </c>
      <c r="D101" s="53" t="s">
        <v>179</v>
      </c>
      <c r="E101" s="6" t="s">
        <v>3</v>
      </c>
      <c r="F101" s="4">
        <v>0</v>
      </c>
      <c r="G101" s="4" t="s">
        <v>3</v>
      </c>
      <c r="H101" s="4">
        <v>0</v>
      </c>
      <c r="I101" s="4" t="s">
        <v>3</v>
      </c>
      <c r="J101" s="4">
        <v>0</v>
      </c>
      <c r="K101" s="4" t="s">
        <v>3</v>
      </c>
      <c r="L101" s="5">
        <v>0</v>
      </c>
      <c r="M101" s="7"/>
      <c r="N101" s="6" t="s">
        <v>3</v>
      </c>
      <c r="O101" s="4">
        <v>0</v>
      </c>
      <c r="P101" s="4" t="s">
        <v>3</v>
      </c>
      <c r="Q101" s="4">
        <v>0</v>
      </c>
      <c r="R101" s="4" t="s">
        <v>3</v>
      </c>
      <c r="S101" s="4">
        <v>0</v>
      </c>
      <c r="T101" s="4" t="s">
        <v>3</v>
      </c>
      <c r="U101" s="5">
        <v>0</v>
      </c>
      <c r="V101" s="7"/>
      <c r="W101" s="6" t="s">
        <v>3</v>
      </c>
      <c r="X101" s="4">
        <v>0</v>
      </c>
      <c r="Y101" s="4" t="s">
        <v>3</v>
      </c>
      <c r="Z101" s="4">
        <v>0</v>
      </c>
      <c r="AA101" s="4" t="s">
        <v>3</v>
      </c>
      <c r="AB101" s="4">
        <v>0</v>
      </c>
      <c r="AC101" s="4" t="s">
        <v>3</v>
      </c>
      <c r="AD101" s="5">
        <v>0</v>
      </c>
      <c r="AE101" s="7"/>
      <c r="AF101" s="6" t="s">
        <v>3</v>
      </c>
      <c r="AG101" s="4">
        <v>0</v>
      </c>
      <c r="AH101" s="4" t="s">
        <v>3</v>
      </c>
      <c r="AI101" s="4">
        <v>0</v>
      </c>
      <c r="AJ101" s="4" t="s">
        <v>3</v>
      </c>
      <c r="AK101" s="4">
        <v>0</v>
      </c>
      <c r="AL101" s="4" t="s">
        <v>3</v>
      </c>
      <c r="AM101" s="5">
        <v>0</v>
      </c>
      <c r="AN101" s="7"/>
      <c r="AO101" s="6" t="s">
        <v>13</v>
      </c>
      <c r="AP101" s="4" t="s">
        <v>13</v>
      </c>
      <c r="AQ101" s="4" t="s">
        <v>13</v>
      </c>
      <c r="AR101" s="5" t="s">
        <v>13</v>
      </c>
      <c r="AT101" s="4" t="s">
        <v>5</v>
      </c>
      <c r="AU101" s="4" t="str">
        <f t="shared" si="17"/>
        <v>Sim</v>
      </c>
      <c r="AV101" s="4" t="s">
        <v>3</v>
      </c>
      <c r="AW101" s="4" t="str">
        <f t="shared" si="18"/>
        <v>Sim</v>
      </c>
      <c r="AX101" s="4" t="s">
        <v>3</v>
      </c>
      <c r="AY101" s="4" t="str">
        <f t="shared" si="19"/>
        <v>Sim</v>
      </c>
      <c r="AZ101" s="4" t="s">
        <v>1</v>
      </c>
      <c r="BA101" s="4" t="str">
        <f t="shared" si="20"/>
        <v>Sim</v>
      </c>
      <c r="BB101" s="4" t="s">
        <v>3</v>
      </c>
      <c r="BC101" s="4" t="str">
        <f t="shared" si="21"/>
        <v>Sim</v>
      </c>
      <c r="BD101" s="4" t="s">
        <v>5</v>
      </c>
      <c r="BE101" s="4" t="str">
        <f t="shared" si="22"/>
        <v>Sim</v>
      </c>
      <c r="BF101" s="4" t="s">
        <v>3</v>
      </c>
      <c r="BG101" s="4" t="str">
        <f t="shared" si="23"/>
        <v>Sim</v>
      </c>
      <c r="BH101" s="4" t="s">
        <v>5</v>
      </c>
      <c r="BI101" s="4" t="str">
        <f t="shared" si="24"/>
        <v>Sim</v>
      </c>
      <c r="BJ101" s="4" t="s">
        <v>5</v>
      </c>
      <c r="BK101" s="4" t="str">
        <f t="shared" si="25"/>
        <v>Sim</v>
      </c>
      <c r="BL101" s="4" t="s">
        <v>3</v>
      </c>
      <c r="BM101" s="4" t="str">
        <f t="shared" si="26"/>
        <v>Sim</v>
      </c>
      <c r="BN101" s="4" t="s">
        <v>5</v>
      </c>
      <c r="BO101" s="4" t="str">
        <f t="shared" si="27"/>
        <v>Sim</v>
      </c>
      <c r="BP101" s="4" t="s">
        <v>5</v>
      </c>
      <c r="BQ101" s="4" t="str">
        <f t="shared" si="28"/>
        <v>Sim</v>
      </c>
      <c r="BR101" s="4" t="s">
        <v>5</v>
      </c>
      <c r="BS101" s="4" t="str">
        <f t="shared" si="29"/>
        <v>Sim</v>
      </c>
      <c r="BT101" s="4" t="s">
        <v>1</v>
      </c>
      <c r="BU101" s="4" t="str">
        <f t="shared" si="30"/>
        <v>Sim</v>
      </c>
      <c r="BV101" s="4" t="s">
        <v>1</v>
      </c>
      <c r="BW101" s="4" t="str">
        <f t="shared" si="31"/>
        <v>Sim</v>
      </c>
      <c r="BX101" s="4" t="s">
        <v>3</v>
      </c>
      <c r="BY101" s="4" t="str">
        <f t="shared" si="32"/>
        <v>Sim</v>
      </c>
      <c r="BZ101" s="4" t="s">
        <v>3</v>
      </c>
      <c r="CA101" s="4" t="str">
        <f t="shared" si="33"/>
        <v>Sim</v>
      </c>
    </row>
    <row r="102" spans="2:79">
      <c r="B102" s="46" t="s">
        <v>77</v>
      </c>
      <c r="C102" s="13" t="s">
        <v>156</v>
      </c>
      <c r="D102" s="54" t="s">
        <v>180</v>
      </c>
      <c r="E102" s="6" t="s">
        <v>3</v>
      </c>
      <c r="F102" s="4">
        <v>0</v>
      </c>
      <c r="G102" s="4" t="s">
        <v>3</v>
      </c>
      <c r="H102" s="4">
        <v>0</v>
      </c>
      <c r="I102" s="4" t="s">
        <v>3</v>
      </c>
      <c r="J102" s="4">
        <v>0</v>
      </c>
      <c r="K102" s="4" t="s">
        <v>3</v>
      </c>
      <c r="L102" s="5">
        <v>0</v>
      </c>
      <c r="M102" s="7"/>
      <c r="N102" s="6" t="s">
        <v>3</v>
      </c>
      <c r="O102" s="4">
        <v>0</v>
      </c>
      <c r="P102" s="4" t="s">
        <v>3</v>
      </c>
      <c r="Q102" s="4">
        <v>0</v>
      </c>
      <c r="R102" s="4" t="s">
        <v>3</v>
      </c>
      <c r="S102" s="4">
        <v>0</v>
      </c>
      <c r="T102" s="4" t="s">
        <v>3</v>
      </c>
      <c r="U102" s="5">
        <v>0</v>
      </c>
      <c r="V102" s="7"/>
      <c r="W102" s="6" t="s">
        <v>3</v>
      </c>
      <c r="X102" s="4">
        <v>0</v>
      </c>
      <c r="Y102" s="4" t="s">
        <v>3</v>
      </c>
      <c r="Z102" s="4">
        <v>0</v>
      </c>
      <c r="AA102" s="4" t="s">
        <v>3</v>
      </c>
      <c r="AB102" s="4">
        <v>0</v>
      </c>
      <c r="AC102" s="4" t="s">
        <v>3</v>
      </c>
      <c r="AD102" s="5">
        <v>0</v>
      </c>
      <c r="AE102" s="7"/>
      <c r="AF102" s="6" t="s">
        <v>3</v>
      </c>
      <c r="AG102" s="4">
        <v>0</v>
      </c>
      <c r="AH102" s="4" t="s">
        <v>3</v>
      </c>
      <c r="AI102" s="4">
        <v>0</v>
      </c>
      <c r="AJ102" s="4" t="s">
        <v>3</v>
      </c>
      <c r="AK102" s="4">
        <v>0</v>
      </c>
      <c r="AL102" s="4" t="s">
        <v>3</v>
      </c>
      <c r="AM102" s="5">
        <v>0</v>
      </c>
      <c r="AN102" s="7"/>
      <c r="AO102" s="6" t="s">
        <v>13</v>
      </c>
      <c r="AP102" s="4" t="s">
        <v>13</v>
      </c>
      <c r="AQ102" s="4" t="s">
        <v>13</v>
      </c>
      <c r="AR102" s="5" t="s">
        <v>13</v>
      </c>
      <c r="AT102" s="4" t="s">
        <v>3</v>
      </c>
      <c r="AU102" s="4" t="str">
        <f t="shared" si="17"/>
        <v>Sim</v>
      </c>
      <c r="AV102" s="4" t="s">
        <v>3</v>
      </c>
      <c r="AW102" s="4" t="str">
        <f t="shared" si="18"/>
        <v>Sim</v>
      </c>
      <c r="AX102" s="4" t="s">
        <v>5</v>
      </c>
      <c r="AY102" s="4" t="str">
        <f t="shared" si="19"/>
        <v>Sim</v>
      </c>
      <c r="AZ102" s="4" t="s">
        <v>1</v>
      </c>
      <c r="BA102" s="4" t="str">
        <f t="shared" si="20"/>
        <v>Sim</v>
      </c>
      <c r="BB102" s="4" t="s">
        <v>3</v>
      </c>
      <c r="BC102" s="4" t="str">
        <f t="shared" si="21"/>
        <v>Sim</v>
      </c>
      <c r="BD102" s="4" t="s">
        <v>5</v>
      </c>
      <c r="BE102" s="4" t="str">
        <f t="shared" si="22"/>
        <v>Sim</v>
      </c>
      <c r="BF102" s="4" t="s">
        <v>1</v>
      </c>
      <c r="BG102" s="4" t="str">
        <f t="shared" si="23"/>
        <v>Sim</v>
      </c>
      <c r="BH102" s="4" t="s">
        <v>3</v>
      </c>
      <c r="BI102" s="4" t="str">
        <f t="shared" si="24"/>
        <v>Sim</v>
      </c>
      <c r="BJ102" s="4" t="s">
        <v>3</v>
      </c>
      <c r="BK102" s="4" t="str">
        <f t="shared" si="25"/>
        <v>Sim</v>
      </c>
      <c r="BL102" s="4" t="s">
        <v>3</v>
      </c>
      <c r="BM102" s="4" t="str">
        <f t="shared" si="26"/>
        <v>Sim</v>
      </c>
      <c r="BN102" s="4" t="s">
        <v>7</v>
      </c>
      <c r="BO102" s="4" t="str">
        <f t="shared" si="27"/>
        <v>Sim</v>
      </c>
      <c r="BP102" s="4" t="s">
        <v>5</v>
      </c>
      <c r="BQ102" s="4" t="str">
        <f t="shared" si="28"/>
        <v>Sim</v>
      </c>
      <c r="BR102" s="4" t="s">
        <v>3</v>
      </c>
      <c r="BS102" s="4" t="str">
        <f t="shared" si="29"/>
        <v>Sim</v>
      </c>
      <c r="BT102" s="4" t="s">
        <v>3</v>
      </c>
      <c r="BU102" s="4" t="str">
        <f t="shared" si="30"/>
        <v>Sim</v>
      </c>
      <c r="BV102" s="4" t="s">
        <v>1</v>
      </c>
      <c r="BW102" s="4" t="str">
        <f t="shared" si="31"/>
        <v>Sim</v>
      </c>
      <c r="BX102" s="4" t="s">
        <v>5</v>
      </c>
      <c r="BY102" s="4" t="str">
        <f t="shared" si="32"/>
        <v>Sim</v>
      </c>
      <c r="BZ102" s="4" t="s">
        <v>3</v>
      </c>
      <c r="CA102" s="4" t="str">
        <f t="shared" si="33"/>
        <v>Sim</v>
      </c>
    </row>
    <row r="103" spans="2:79">
      <c r="B103" s="45" t="s">
        <v>77</v>
      </c>
      <c r="C103" s="44" t="s">
        <v>156</v>
      </c>
      <c r="D103" s="53" t="s">
        <v>181</v>
      </c>
      <c r="E103" s="6" t="s">
        <v>3</v>
      </c>
      <c r="F103" s="4">
        <v>0</v>
      </c>
      <c r="G103" s="4" t="s">
        <v>3</v>
      </c>
      <c r="H103" s="4">
        <v>0</v>
      </c>
      <c r="I103" s="4" t="s">
        <v>3</v>
      </c>
      <c r="J103" s="4">
        <v>0</v>
      </c>
      <c r="K103" s="4" t="s">
        <v>3</v>
      </c>
      <c r="L103" s="5">
        <v>0</v>
      </c>
      <c r="M103" s="7"/>
      <c r="N103" s="6" t="s">
        <v>3</v>
      </c>
      <c r="O103" s="4">
        <v>0</v>
      </c>
      <c r="P103" s="4" t="s">
        <v>3</v>
      </c>
      <c r="Q103" s="4">
        <v>0</v>
      </c>
      <c r="R103" s="4" t="s">
        <v>3</v>
      </c>
      <c r="S103" s="4">
        <v>0</v>
      </c>
      <c r="T103" s="4" t="s">
        <v>3</v>
      </c>
      <c r="U103" s="5">
        <v>0</v>
      </c>
      <c r="V103" s="7"/>
      <c r="W103" s="6" t="s">
        <v>3</v>
      </c>
      <c r="X103" s="4">
        <v>0</v>
      </c>
      <c r="Y103" s="4" t="s">
        <v>3</v>
      </c>
      <c r="Z103" s="4">
        <v>0</v>
      </c>
      <c r="AA103" s="4" t="s">
        <v>3</v>
      </c>
      <c r="AB103" s="4">
        <v>0</v>
      </c>
      <c r="AC103" s="4" t="s">
        <v>3</v>
      </c>
      <c r="AD103" s="5">
        <v>0</v>
      </c>
      <c r="AE103" s="7"/>
      <c r="AF103" s="6" t="s">
        <v>3</v>
      </c>
      <c r="AG103" s="4">
        <v>0</v>
      </c>
      <c r="AH103" s="4" t="s">
        <v>3</v>
      </c>
      <c r="AI103" s="4">
        <v>0</v>
      </c>
      <c r="AJ103" s="4" t="s">
        <v>3</v>
      </c>
      <c r="AK103" s="4">
        <v>0</v>
      </c>
      <c r="AL103" s="4" t="s">
        <v>3</v>
      </c>
      <c r="AM103" s="5">
        <v>0</v>
      </c>
      <c r="AN103" s="7"/>
      <c r="AO103" s="6" t="s">
        <v>13</v>
      </c>
      <c r="AP103" s="4" t="s">
        <v>13</v>
      </c>
      <c r="AQ103" s="4" t="s">
        <v>13</v>
      </c>
      <c r="AR103" s="5" t="s">
        <v>13</v>
      </c>
      <c r="AT103" s="4" t="s">
        <v>3</v>
      </c>
      <c r="AU103" s="4" t="str">
        <f t="shared" si="17"/>
        <v>Sim</v>
      </c>
      <c r="AV103" s="4" t="s">
        <v>5</v>
      </c>
      <c r="AW103" s="4" t="str">
        <f t="shared" si="18"/>
        <v>Sim</v>
      </c>
      <c r="AX103" s="4" t="s">
        <v>5</v>
      </c>
      <c r="AY103" s="4" t="str">
        <f t="shared" si="19"/>
        <v>Sim</v>
      </c>
      <c r="AZ103" s="4" t="s">
        <v>1</v>
      </c>
      <c r="BA103" s="4" t="str">
        <f t="shared" si="20"/>
        <v>Sim</v>
      </c>
      <c r="BB103" s="4" t="s">
        <v>5</v>
      </c>
      <c r="BC103" s="4" t="str">
        <f t="shared" si="21"/>
        <v>Sim</v>
      </c>
      <c r="BD103" s="4" t="s">
        <v>5</v>
      </c>
      <c r="BE103" s="4" t="str">
        <f t="shared" si="22"/>
        <v>Sim</v>
      </c>
      <c r="BF103" s="4" t="s">
        <v>3</v>
      </c>
      <c r="BG103" s="4" t="str">
        <f t="shared" si="23"/>
        <v>Sim</v>
      </c>
      <c r="BH103" s="4" t="s">
        <v>7</v>
      </c>
      <c r="BI103" s="4" t="str">
        <f t="shared" si="24"/>
        <v>Sim</v>
      </c>
      <c r="BJ103" s="4" t="s">
        <v>5</v>
      </c>
      <c r="BK103" s="4" t="str">
        <f t="shared" si="25"/>
        <v>Sim</v>
      </c>
      <c r="BL103" s="4" t="s">
        <v>3</v>
      </c>
      <c r="BM103" s="4" t="str">
        <f t="shared" si="26"/>
        <v>Sim</v>
      </c>
      <c r="BN103" s="4" t="s">
        <v>7</v>
      </c>
      <c r="BO103" s="4" t="str">
        <f t="shared" si="27"/>
        <v>Sim</v>
      </c>
      <c r="BP103" s="4" t="s">
        <v>5</v>
      </c>
      <c r="BQ103" s="4" t="str">
        <f t="shared" si="28"/>
        <v>Sim</v>
      </c>
      <c r="BR103" s="4" t="s">
        <v>5</v>
      </c>
      <c r="BS103" s="4" t="str">
        <f t="shared" si="29"/>
        <v>Sim</v>
      </c>
      <c r="BT103" s="4" t="s">
        <v>3</v>
      </c>
      <c r="BU103" s="4" t="str">
        <f t="shared" si="30"/>
        <v>Sim</v>
      </c>
      <c r="BV103" s="4" t="s">
        <v>3</v>
      </c>
      <c r="BW103" s="4" t="str">
        <f t="shared" si="31"/>
        <v>Sim</v>
      </c>
      <c r="BX103" s="4" t="s">
        <v>3</v>
      </c>
      <c r="BY103" s="4" t="str">
        <f t="shared" si="32"/>
        <v>Sim</v>
      </c>
      <c r="BZ103" s="4" t="s">
        <v>5</v>
      </c>
      <c r="CA103" s="4" t="str">
        <f t="shared" si="33"/>
        <v>Sim</v>
      </c>
    </row>
    <row r="104" spans="2:79">
      <c r="B104" s="46" t="s">
        <v>77</v>
      </c>
      <c r="C104" s="13" t="s">
        <v>156</v>
      </c>
      <c r="D104" s="54" t="s">
        <v>182</v>
      </c>
      <c r="E104" s="6" t="s">
        <v>3</v>
      </c>
      <c r="F104" s="4">
        <v>0</v>
      </c>
      <c r="G104" s="4" t="s">
        <v>3</v>
      </c>
      <c r="H104" s="4">
        <v>0</v>
      </c>
      <c r="I104" s="4" t="s">
        <v>3</v>
      </c>
      <c r="J104" s="4">
        <v>0</v>
      </c>
      <c r="K104" s="4" t="s">
        <v>3</v>
      </c>
      <c r="L104" s="5">
        <v>0</v>
      </c>
      <c r="M104" s="7"/>
      <c r="N104" s="6" t="s">
        <v>3</v>
      </c>
      <c r="O104" s="4">
        <v>0</v>
      </c>
      <c r="P104" s="4" t="s">
        <v>3</v>
      </c>
      <c r="Q104" s="4">
        <v>0</v>
      </c>
      <c r="R104" s="4" t="s">
        <v>3</v>
      </c>
      <c r="S104" s="4">
        <v>0</v>
      </c>
      <c r="T104" s="4" t="s">
        <v>3</v>
      </c>
      <c r="U104" s="5">
        <v>0</v>
      </c>
      <c r="V104" s="7"/>
      <c r="W104" s="6" t="s">
        <v>3</v>
      </c>
      <c r="X104" s="4">
        <v>0</v>
      </c>
      <c r="Y104" s="4" t="s">
        <v>3</v>
      </c>
      <c r="Z104" s="4">
        <v>0</v>
      </c>
      <c r="AA104" s="4" t="s">
        <v>3</v>
      </c>
      <c r="AB104" s="4">
        <v>0</v>
      </c>
      <c r="AC104" s="4" t="s">
        <v>3</v>
      </c>
      <c r="AD104" s="5">
        <v>0</v>
      </c>
      <c r="AE104" s="7"/>
      <c r="AF104" s="6" t="s">
        <v>3</v>
      </c>
      <c r="AG104" s="4">
        <v>0</v>
      </c>
      <c r="AH104" s="4" t="s">
        <v>3</v>
      </c>
      <c r="AI104" s="4">
        <v>0</v>
      </c>
      <c r="AJ104" s="4" t="s">
        <v>3</v>
      </c>
      <c r="AK104" s="4">
        <v>0</v>
      </c>
      <c r="AL104" s="4" t="s">
        <v>3</v>
      </c>
      <c r="AM104" s="5">
        <v>0</v>
      </c>
      <c r="AN104" s="7"/>
      <c r="AO104" s="6" t="s">
        <v>13</v>
      </c>
      <c r="AP104" s="4" t="s">
        <v>13</v>
      </c>
      <c r="AQ104" s="4" t="s">
        <v>13</v>
      </c>
      <c r="AR104" s="5" t="s">
        <v>13</v>
      </c>
      <c r="AT104" s="4" t="s">
        <v>5</v>
      </c>
      <c r="AU104" s="4" t="str">
        <f t="shared" si="17"/>
        <v>Sim</v>
      </c>
      <c r="AV104" s="4" t="s">
        <v>5</v>
      </c>
      <c r="AW104" s="4" t="str">
        <f t="shared" si="18"/>
        <v>Sim</v>
      </c>
      <c r="AX104" s="4" t="s">
        <v>5</v>
      </c>
      <c r="AY104" s="4" t="str">
        <f t="shared" si="19"/>
        <v>Sim</v>
      </c>
      <c r="AZ104" s="4" t="s">
        <v>3</v>
      </c>
      <c r="BA104" s="4" t="str">
        <f t="shared" si="20"/>
        <v>Sim</v>
      </c>
      <c r="BB104" s="4" t="s">
        <v>3</v>
      </c>
      <c r="BC104" s="4" t="str">
        <f t="shared" si="21"/>
        <v>Sim</v>
      </c>
      <c r="BD104" s="4" t="s">
        <v>7</v>
      </c>
      <c r="BE104" s="4" t="str">
        <f t="shared" si="22"/>
        <v>Sim</v>
      </c>
      <c r="BF104" s="4" t="s">
        <v>1</v>
      </c>
      <c r="BG104" s="4" t="str">
        <f t="shared" si="23"/>
        <v>Sim</v>
      </c>
      <c r="BH104" s="4" t="s">
        <v>5</v>
      </c>
      <c r="BI104" s="4" t="str">
        <f t="shared" si="24"/>
        <v>Sim</v>
      </c>
      <c r="BJ104" s="4" t="s">
        <v>5</v>
      </c>
      <c r="BK104" s="4" t="str">
        <f t="shared" si="25"/>
        <v>Sim</v>
      </c>
      <c r="BL104" s="4" t="s">
        <v>3</v>
      </c>
      <c r="BM104" s="4" t="str">
        <f t="shared" si="26"/>
        <v>Sim</v>
      </c>
      <c r="BN104" s="4" t="s">
        <v>7</v>
      </c>
      <c r="BO104" s="4" t="str">
        <f t="shared" si="27"/>
        <v>Sim</v>
      </c>
      <c r="BP104" s="4" t="s">
        <v>5</v>
      </c>
      <c r="BQ104" s="4" t="str">
        <f t="shared" si="28"/>
        <v>Sim</v>
      </c>
      <c r="BR104" s="4" t="s">
        <v>3</v>
      </c>
      <c r="BS104" s="4" t="str">
        <f t="shared" si="29"/>
        <v>Sim</v>
      </c>
      <c r="BT104" s="4" t="s">
        <v>1</v>
      </c>
      <c r="BU104" s="4" t="str">
        <f t="shared" si="30"/>
        <v>Sim</v>
      </c>
      <c r="BV104" s="4" t="s">
        <v>1</v>
      </c>
      <c r="BW104" s="4" t="str">
        <f t="shared" si="31"/>
        <v>Sim</v>
      </c>
      <c r="BX104" s="4" t="s">
        <v>5</v>
      </c>
      <c r="BY104" s="4" t="str">
        <f t="shared" si="32"/>
        <v>Sim</v>
      </c>
      <c r="BZ104" s="4" t="s">
        <v>3</v>
      </c>
      <c r="CA104" s="4" t="str">
        <f t="shared" si="33"/>
        <v>Sim</v>
      </c>
    </row>
    <row r="105" spans="2:79">
      <c r="B105" s="45" t="s">
        <v>77</v>
      </c>
      <c r="C105" s="44" t="s">
        <v>156</v>
      </c>
      <c r="D105" s="53" t="s">
        <v>183</v>
      </c>
      <c r="E105" s="6" t="s">
        <v>3</v>
      </c>
      <c r="F105" s="4">
        <v>0</v>
      </c>
      <c r="G105" s="4" t="s">
        <v>3</v>
      </c>
      <c r="H105" s="4">
        <v>0</v>
      </c>
      <c r="I105" s="4" t="s">
        <v>3</v>
      </c>
      <c r="J105" s="4">
        <v>0</v>
      </c>
      <c r="K105" s="4" t="s">
        <v>3</v>
      </c>
      <c r="L105" s="5">
        <v>0</v>
      </c>
      <c r="M105" s="7"/>
      <c r="N105" s="6" t="s">
        <v>3</v>
      </c>
      <c r="O105" s="4">
        <v>0</v>
      </c>
      <c r="P105" s="4" t="s">
        <v>3</v>
      </c>
      <c r="Q105" s="4">
        <v>0</v>
      </c>
      <c r="R105" s="4" t="s">
        <v>3</v>
      </c>
      <c r="S105" s="4">
        <v>0</v>
      </c>
      <c r="T105" s="4" t="s">
        <v>3</v>
      </c>
      <c r="U105" s="5">
        <v>0</v>
      </c>
      <c r="V105" s="7"/>
      <c r="W105" s="6" t="s">
        <v>3</v>
      </c>
      <c r="X105" s="4">
        <v>0</v>
      </c>
      <c r="Y105" s="4" t="s">
        <v>3</v>
      </c>
      <c r="Z105" s="4">
        <v>0</v>
      </c>
      <c r="AA105" s="4" t="s">
        <v>3</v>
      </c>
      <c r="AB105" s="4">
        <v>0</v>
      </c>
      <c r="AC105" s="4" t="s">
        <v>3</v>
      </c>
      <c r="AD105" s="5">
        <v>0</v>
      </c>
      <c r="AE105" s="7"/>
      <c r="AF105" s="6" t="s">
        <v>3</v>
      </c>
      <c r="AG105" s="4">
        <v>0</v>
      </c>
      <c r="AH105" s="4" t="s">
        <v>3</v>
      </c>
      <c r="AI105" s="4">
        <v>0</v>
      </c>
      <c r="AJ105" s="4" t="s">
        <v>3</v>
      </c>
      <c r="AK105" s="4">
        <v>0</v>
      </c>
      <c r="AL105" s="4" t="s">
        <v>3</v>
      </c>
      <c r="AM105" s="5">
        <v>0</v>
      </c>
      <c r="AN105" s="7"/>
      <c r="AO105" s="6" t="s">
        <v>13</v>
      </c>
      <c r="AP105" s="4" t="s">
        <v>13</v>
      </c>
      <c r="AQ105" s="4" t="s">
        <v>13</v>
      </c>
      <c r="AR105" s="5" t="s">
        <v>13</v>
      </c>
      <c r="AT105" s="4" t="s">
        <v>3</v>
      </c>
      <c r="AU105" s="4" t="str">
        <f t="shared" si="17"/>
        <v>Sim</v>
      </c>
      <c r="AV105" s="4" t="s">
        <v>3</v>
      </c>
      <c r="AW105" s="4" t="str">
        <f t="shared" si="18"/>
        <v>Sim</v>
      </c>
      <c r="AX105" s="4" t="s">
        <v>5</v>
      </c>
      <c r="AY105" s="4" t="str">
        <f t="shared" si="19"/>
        <v>Sim</v>
      </c>
      <c r="AZ105" s="4" t="s">
        <v>1</v>
      </c>
      <c r="BA105" s="4" t="str">
        <f t="shared" si="20"/>
        <v>Sim</v>
      </c>
      <c r="BB105" s="4" t="s">
        <v>3</v>
      </c>
      <c r="BC105" s="4" t="str">
        <f t="shared" si="21"/>
        <v>Sim</v>
      </c>
      <c r="BD105" s="4" t="s">
        <v>5</v>
      </c>
      <c r="BE105" s="4" t="str">
        <f t="shared" si="22"/>
        <v>Sim</v>
      </c>
      <c r="BF105" s="4" t="s">
        <v>1</v>
      </c>
      <c r="BG105" s="4" t="str">
        <f t="shared" si="23"/>
        <v>Sim</v>
      </c>
      <c r="BH105" s="4" t="s">
        <v>5</v>
      </c>
      <c r="BI105" s="4" t="str">
        <f t="shared" si="24"/>
        <v>Sim</v>
      </c>
      <c r="BJ105" s="4" t="s">
        <v>5</v>
      </c>
      <c r="BK105" s="4" t="str">
        <f t="shared" si="25"/>
        <v>Sim</v>
      </c>
      <c r="BL105" s="4" t="s">
        <v>3</v>
      </c>
      <c r="BM105" s="4" t="str">
        <f t="shared" si="26"/>
        <v>Sim</v>
      </c>
      <c r="BN105" s="4" t="s">
        <v>7</v>
      </c>
      <c r="BO105" s="4" t="str">
        <f t="shared" si="27"/>
        <v>Sim</v>
      </c>
      <c r="BP105" s="4" t="s">
        <v>5</v>
      </c>
      <c r="BQ105" s="4" t="str">
        <f t="shared" si="28"/>
        <v>Sim</v>
      </c>
      <c r="BR105" s="4" t="s">
        <v>3</v>
      </c>
      <c r="BS105" s="4" t="str">
        <f t="shared" si="29"/>
        <v>Sim</v>
      </c>
      <c r="BT105" s="4" t="s">
        <v>3</v>
      </c>
      <c r="BU105" s="4" t="str">
        <f t="shared" si="30"/>
        <v>Sim</v>
      </c>
      <c r="BV105" s="4" t="s">
        <v>1</v>
      </c>
      <c r="BW105" s="4" t="str">
        <f t="shared" si="31"/>
        <v>Sim</v>
      </c>
      <c r="BX105" s="4" t="s">
        <v>3</v>
      </c>
      <c r="BY105" s="4" t="str">
        <f t="shared" si="32"/>
        <v>Sim</v>
      </c>
      <c r="BZ105" s="4" t="s">
        <v>3</v>
      </c>
      <c r="CA105" s="4" t="str">
        <f t="shared" si="33"/>
        <v>Sim</v>
      </c>
    </row>
    <row r="106" spans="2:79">
      <c r="B106" s="46" t="s">
        <v>77</v>
      </c>
      <c r="C106" s="13" t="s">
        <v>87</v>
      </c>
      <c r="D106" s="54" t="s">
        <v>184</v>
      </c>
      <c r="E106" s="6" t="s">
        <v>3</v>
      </c>
      <c r="F106" s="4">
        <v>0</v>
      </c>
      <c r="G106" s="4" t="s">
        <v>3</v>
      </c>
      <c r="H106" s="4">
        <v>0</v>
      </c>
      <c r="I106" s="4" t="s">
        <v>3</v>
      </c>
      <c r="J106" s="4">
        <v>0</v>
      </c>
      <c r="K106" s="4" t="s">
        <v>3</v>
      </c>
      <c r="L106" s="5">
        <v>0</v>
      </c>
      <c r="M106" s="7"/>
      <c r="N106" s="6" t="s">
        <v>3</v>
      </c>
      <c r="O106" s="4">
        <v>0</v>
      </c>
      <c r="P106" s="4" t="s">
        <v>3</v>
      </c>
      <c r="Q106" s="4">
        <v>0</v>
      </c>
      <c r="R106" s="4" t="s">
        <v>3</v>
      </c>
      <c r="S106" s="4">
        <v>0</v>
      </c>
      <c r="T106" s="4" t="s">
        <v>3</v>
      </c>
      <c r="U106" s="5">
        <v>0</v>
      </c>
      <c r="V106" s="7"/>
      <c r="W106" s="6" t="s">
        <v>3</v>
      </c>
      <c r="X106" s="4">
        <v>0</v>
      </c>
      <c r="Y106" s="4" t="s">
        <v>3</v>
      </c>
      <c r="Z106" s="4">
        <v>0</v>
      </c>
      <c r="AA106" s="4" t="s">
        <v>3</v>
      </c>
      <c r="AB106" s="4">
        <v>0</v>
      </c>
      <c r="AC106" s="4" t="s">
        <v>3</v>
      </c>
      <c r="AD106" s="5">
        <v>0</v>
      </c>
      <c r="AE106" s="7"/>
      <c r="AF106" s="6" t="s">
        <v>3</v>
      </c>
      <c r="AG106" s="4">
        <v>0</v>
      </c>
      <c r="AH106" s="4" t="s">
        <v>3</v>
      </c>
      <c r="AI106" s="4">
        <v>0</v>
      </c>
      <c r="AJ106" s="4" t="s">
        <v>3</v>
      </c>
      <c r="AK106" s="4">
        <v>0</v>
      </c>
      <c r="AL106" s="4" t="s">
        <v>3</v>
      </c>
      <c r="AM106" s="5">
        <v>0</v>
      </c>
      <c r="AN106" s="7"/>
      <c r="AO106" s="6" t="s">
        <v>13</v>
      </c>
      <c r="AP106" s="4" t="s">
        <v>13</v>
      </c>
      <c r="AQ106" s="4" t="s">
        <v>13</v>
      </c>
      <c r="AR106" s="5" t="s">
        <v>13</v>
      </c>
      <c r="AT106" s="4" t="s">
        <v>5</v>
      </c>
      <c r="AU106" s="4" t="str">
        <f t="shared" si="17"/>
        <v>Sim</v>
      </c>
      <c r="AV106" s="4" t="s">
        <v>3</v>
      </c>
      <c r="AW106" s="4" t="str">
        <f t="shared" si="18"/>
        <v>Sim</v>
      </c>
      <c r="AX106" s="4" t="s">
        <v>5</v>
      </c>
      <c r="AY106" s="4" t="str">
        <f t="shared" si="19"/>
        <v>Sim</v>
      </c>
      <c r="AZ106" s="4" t="s">
        <v>3</v>
      </c>
      <c r="BA106" s="4" t="str">
        <f t="shared" si="20"/>
        <v>Sim</v>
      </c>
      <c r="BB106" s="4" t="s">
        <v>7</v>
      </c>
      <c r="BC106" s="4" t="str">
        <f t="shared" si="21"/>
        <v>Sim</v>
      </c>
      <c r="BD106" s="4" t="s">
        <v>5</v>
      </c>
      <c r="BE106" s="4" t="str">
        <f t="shared" si="22"/>
        <v>Sim</v>
      </c>
      <c r="BF106" s="4" t="s">
        <v>3</v>
      </c>
      <c r="BG106" s="4" t="str">
        <f t="shared" si="23"/>
        <v>Sim</v>
      </c>
      <c r="BH106" s="4" t="s">
        <v>5</v>
      </c>
      <c r="BI106" s="4" t="str">
        <f t="shared" si="24"/>
        <v>Sim</v>
      </c>
      <c r="BJ106" s="4" t="s">
        <v>5</v>
      </c>
      <c r="BK106" s="4" t="str">
        <f t="shared" si="25"/>
        <v>Sim</v>
      </c>
      <c r="BL106" s="4" t="s">
        <v>3</v>
      </c>
      <c r="BM106" s="4" t="str">
        <f t="shared" si="26"/>
        <v>Sim</v>
      </c>
      <c r="BN106" s="4" t="s">
        <v>5</v>
      </c>
      <c r="BO106" s="4" t="str">
        <f t="shared" si="27"/>
        <v>Sim</v>
      </c>
      <c r="BP106" s="4" t="s">
        <v>5</v>
      </c>
      <c r="BQ106" s="4" t="str">
        <f t="shared" si="28"/>
        <v>Sim</v>
      </c>
      <c r="BR106" s="4" t="s">
        <v>5</v>
      </c>
      <c r="BS106" s="4" t="str">
        <f t="shared" si="29"/>
        <v>Sim</v>
      </c>
      <c r="BT106" s="4" t="s">
        <v>3</v>
      </c>
      <c r="BU106" s="4" t="str">
        <f t="shared" si="30"/>
        <v>Sim</v>
      </c>
      <c r="BV106" s="4" t="s">
        <v>1</v>
      </c>
      <c r="BW106" s="4" t="str">
        <f t="shared" si="31"/>
        <v>Sim</v>
      </c>
      <c r="BX106" s="4" t="s">
        <v>5</v>
      </c>
      <c r="BY106" s="4" t="str">
        <f t="shared" si="32"/>
        <v>Sim</v>
      </c>
      <c r="BZ106" s="4" t="s">
        <v>3</v>
      </c>
      <c r="CA106" s="4" t="str">
        <f t="shared" si="33"/>
        <v>Sim</v>
      </c>
    </row>
    <row r="107" spans="2:79">
      <c r="B107" s="45" t="s">
        <v>77</v>
      </c>
      <c r="C107" s="44" t="s">
        <v>78</v>
      </c>
      <c r="D107" s="53" t="s">
        <v>185</v>
      </c>
      <c r="E107" s="6" t="s">
        <v>3</v>
      </c>
      <c r="F107" s="4">
        <v>0</v>
      </c>
      <c r="G107" s="4" t="s">
        <v>3</v>
      </c>
      <c r="H107" s="4">
        <v>0</v>
      </c>
      <c r="I107" s="4" t="s">
        <v>3</v>
      </c>
      <c r="J107" s="4">
        <v>0</v>
      </c>
      <c r="K107" s="4" t="s">
        <v>3</v>
      </c>
      <c r="L107" s="5">
        <v>0</v>
      </c>
      <c r="M107" s="7"/>
      <c r="N107" s="6" t="s">
        <v>3</v>
      </c>
      <c r="O107" s="4">
        <v>0</v>
      </c>
      <c r="P107" s="4" t="s">
        <v>3</v>
      </c>
      <c r="Q107" s="4">
        <v>0</v>
      </c>
      <c r="R107" s="4" t="s">
        <v>3</v>
      </c>
      <c r="S107" s="4">
        <v>0</v>
      </c>
      <c r="T107" s="4" t="s">
        <v>3</v>
      </c>
      <c r="U107" s="5">
        <v>0</v>
      </c>
      <c r="V107" s="7"/>
      <c r="W107" s="6" t="s">
        <v>3</v>
      </c>
      <c r="X107" s="4">
        <v>0</v>
      </c>
      <c r="Y107" s="4" t="s">
        <v>3</v>
      </c>
      <c r="Z107" s="4">
        <v>0</v>
      </c>
      <c r="AA107" s="4" t="s">
        <v>3</v>
      </c>
      <c r="AB107" s="4">
        <v>0</v>
      </c>
      <c r="AC107" s="4" t="s">
        <v>3</v>
      </c>
      <c r="AD107" s="5">
        <v>0</v>
      </c>
      <c r="AE107" s="7"/>
      <c r="AF107" s="6" t="s">
        <v>3</v>
      </c>
      <c r="AG107" s="4">
        <v>0</v>
      </c>
      <c r="AH107" s="4" t="s">
        <v>3</v>
      </c>
      <c r="AI107" s="4">
        <v>0</v>
      </c>
      <c r="AJ107" s="4" t="s">
        <v>3</v>
      </c>
      <c r="AK107" s="4">
        <v>0</v>
      </c>
      <c r="AL107" s="4" t="s">
        <v>3</v>
      </c>
      <c r="AM107" s="5">
        <v>0</v>
      </c>
      <c r="AN107" s="7"/>
      <c r="AO107" s="6" t="s">
        <v>13</v>
      </c>
      <c r="AP107" s="4" t="s">
        <v>13</v>
      </c>
      <c r="AQ107" s="4" t="s">
        <v>13</v>
      </c>
      <c r="AR107" s="5" t="s">
        <v>13</v>
      </c>
      <c r="AT107" s="4" t="s">
        <v>3</v>
      </c>
      <c r="AU107" s="4" t="str">
        <f t="shared" si="17"/>
        <v>Sim</v>
      </c>
      <c r="AV107" s="4" t="s">
        <v>7</v>
      </c>
      <c r="AW107" s="4" t="str">
        <f t="shared" si="18"/>
        <v>Sim</v>
      </c>
      <c r="AX107" s="4" t="s">
        <v>3</v>
      </c>
      <c r="AY107" s="4" t="str">
        <f t="shared" si="19"/>
        <v>Sim</v>
      </c>
      <c r="AZ107" s="4" t="s">
        <v>1</v>
      </c>
      <c r="BA107" s="4" t="str">
        <f t="shared" si="20"/>
        <v>Sim</v>
      </c>
      <c r="BB107" s="4" t="s">
        <v>3</v>
      </c>
      <c r="BC107" s="4" t="str">
        <f t="shared" si="21"/>
        <v>Sim</v>
      </c>
      <c r="BD107" s="4" t="s">
        <v>5</v>
      </c>
      <c r="BE107" s="4" t="str">
        <f t="shared" si="22"/>
        <v>Sim</v>
      </c>
      <c r="BF107" s="4" t="s">
        <v>3</v>
      </c>
      <c r="BG107" s="4" t="str">
        <f t="shared" si="23"/>
        <v>Sim</v>
      </c>
      <c r="BH107" s="4" t="s">
        <v>3</v>
      </c>
      <c r="BI107" s="4" t="str">
        <f t="shared" si="24"/>
        <v>Sim</v>
      </c>
      <c r="BJ107" s="4" t="s">
        <v>3</v>
      </c>
      <c r="BK107" s="4" t="str">
        <f t="shared" si="25"/>
        <v>Sim</v>
      </c>
      <c r="BL107" s="4" t="s">
        <v>1</v>
      </c>
      <c r="BM107" s="4" t="str">
        <f t="shared" si="26"/>
        <v>Sim</v>
      </c>
      <c r="BN107" s="4" t="s">
        <v>5</v>
      </c>
      <c r="BO107" s="4" t="str">
        <f t="shared" si="27"/>
        <v>Sim</v>
      </c>
      <c r="BP107" s="4" t="s">
        <v>3</v>
      </c>
      <c r="BQ107" s="4" t="str">
        <f t="shared" si="28"/>
        <v>Sim</v>
      </c>
      <c r="BR107" s="4" t="s">
        <v>5</v>
      </c>
      <c r="BS107" s="4" t="str">
        <f t="shared" si="29"/>
        <v>Sim</v>
      </c>
      <c r="BT107" s="4" t="s">
        <v>3</v>
      </c>
      <c r="BU107" s="4" t="str">
        <f t="shared" si="30"/>
        <v>Sim</v>
      </c>
      <c r="BV107" s="4" t="s">
        <v>1</v>
      </c>
      <c r="BW107" s="4" t="str">
        <f t="shared" si="31"/>
        <v>Sim</v>
      </c>
      <c r="BX107" s="4" t="s">
        <v>3</v>
      </c>
      <c r="BY107" s="4" t="str">
        <f t="shared" si="32"/>
        <v>Sim</v>
      </c>
      <c r="BZ107" s="4" t="s">
        <v>3</v>
      </c>
      <c r="CA107" s="4" t="str">
        <f t="shared" si="33"/>
        <v>Sim</v>
      </c>
    </row>
    <row r="108" spans="2:79">
      <c r="B108" s="46" t="s">
        <v>77</v>
      </c>
      <c r="C108" s="13" t="s">
        <v>156</v>
      </c>
      <c r="D108" s="54" t="s">
        <v>186</v>
      </c>
      <c r="E108" s="6" t="s">
        <v>3</v>
      </c>
      <c r="F108" s="4">
        <v>0</v>
      </c>
      <c r="G108" s="4" t="s">
        <v>3</v>
      </c>
      <c r="H108" s="4">
        <v>0</v>
      </c>
      <c r="I108" s="4" t="s">
        <v>3</v>
      </c>
      <c r="J108" s="4">
        <v>0</v>
      </c>
      <c r="K108" s="4" t="s">
        <v>3</v>
      </c>
      <c r="L108" s="5">
        <v>0</v>
      </c>
      <c r="M108" s="7"/>
      <c r="N108" s="6" t="s">
        <v>3</v>
      </c>
      <c r="O108" s="4">
        <v>0</v>
      </c>
      <c r="P108" s="4" t="s">
        <v>3</v>
      </c>
      <c r="Q108" s="4">
        <v>0</v>
      </c>
      <c r="R108" s="4" t="s">
        <v>3</v>
      </c>
      <c r="S108" s="4">
        <v>0</v>
      </c>
      <c r="T108" s="4" t="s">
        <v>3</v>
      </c>
      <c r="U108" s="5">
        <v>0</v>
      </c>
      <c r="V108" s="7"/>
      <c r="W108" s="6" t="s">
        <v>3</v>
      </c>
      <c r="X108" s="4">
        <v>0</v>
      </c>
      <c r="Y108" s="4" t="s">
        <v>3</v>
      </c>
      <c r="Z108" s="4">
        <v>0</v>
      </c>
      <c r="AA108" s="4" t="s">
        <v>3</v>
      </c>
      <c r="AB108" s="4">
        <v>0</v>
      </c>
      <c r="AC108" s="4" t="s">
        <v>3</v>
      </c>
      <c r="AD108" s="5">
        <v>0</v>
      </c>
      <c r="AE108" s="7"/>
      <c r="AF108" s="6" t="s">
        <v>3</v>
      </c>
      <c r="AG108" s="4">
        <v>0</v>
      </c>
      <c r="AH108" s="4" t="s">
        <v>3</v>
      </c>
      <c r="AI108" s="4">
        <v>0</v>
      </c>
      <c r="AJ108" s="4" t="s">
        <v>3</v>
      </c>
      <c r="AK108" s="4">
        <v>0</v>
      </c>
      <c r="AL108" s="4" t="s">
        <v>3</v>
      </c>
      <c r="AM108" s="5">
        <v>0</v>
      </c>
      <c r="AN108" s="7"/>
      <c r="AO108" s="6" t="s">
        <v>13</v>
      </c>
      <c r="AP108" s="4" t="s">
        <v>13</v>
      </c>
      <c r="AQ108" s="4" t="s">
        <v>13</v>
      </c>
      <c r="AR108" s="5" t="s">
        <v>13</v>
      </c>
      <c r="AT108" s="4" t="s">
        <v>1</v>
      </c>
      <c r="AU108" s="4" t="str">
        <f t="shared" si="17"/>
        <v>Sim</v>
      </c>
      <c r="AV108" s="4" t="s">
        <v>3</v>
      </c>
      <c r="AW108" s="4" t="str">
        <f t="shared" si="18"/>
        <v>Sim</v>
      </c>
      <c r="AX108" s="4" t="s">
        <v>3</v>
      </c>
      <c r="AY108" s="4" t="str">
        <f t="shared" si="19"/>
        <v>Sim</v>
      </c>
      <c r="AZ108" s="4" t="s">
        <v>1</v>
      </c>
      <c r="BA108" s="4" t="str">
        <f t="shared" si="20"/>
        <v>Sim</v>
      </c>
      <c r="BB108" s="4" t="s">
        <v>3</v>
      </c>
      <c r="BC108" s="4" t="str">
        <f t="shared" si="21"/>
        <v>Sim</v>
      </c>
      <c r="BD108" s="4" t="s">
        <v>5</v>
      </c>
      <c r="BE108" s="4" t="str">
        <f t="shared" si="22"/>
        <v>Sim</v>
      </c>
      <c r="BF108" s="4" t="s">
        <v>1</v>
      </c>
      <c r="BG108" s="4" t="str">
        <f t="shared" si="23"/>
        <v>Sim</v>
      </c>
      <c r="BH108" s="4" t="s">
        <v>5</v>
      </c>
      <c r="BI108" s="4" t="str">
        <f t="shared" si="24"/>
        <v>Sim</v>
      </c>
      <c r="BJ108" s="4" t="s">
        <v>3</v>
      </c>
      <c r="BK108" s="4" t="str">
        <f t="shared" si="25"/>
        <v>Sim</v>
      </c>
      <c r="BL108" s="4" t="s">
        <v>1</v>
      </c>
      <c r="BM108" s="4" t="str">
        <f t="shared" si="26"/>
        <v>Sim</v>
      </c>
      <c r="BN108" s="4" t="s">
        <v>7</v>
      </c>
      <c r="BO108" s="4" t="str">
        <f t="shared" si="27"/>
        <v>Sim</v>
      </c>
      <c r="BP108" s="4" t="s">
        <v>3</v>
      </c>
      <c r="BQ108" s="4" t="str">
        <f t="shared" si="28"/>
        <v>Sim</v>
      </c>
      <c r="BR108" s="4" t="s">
        <v>3</v>
      </c>
      <c r="BS108" s="4" t="str">
        <f t="shared" si="29"/>
        <v>Sim</v>
      </c>
      <c r="BT108" s="4" t="s">
        <v>1</v>
      </c>
      <c r="BU108" s="4" t="str">
        <f t="shared" si="30"/>
        <v>Sim</v>
      </c>
      <c r="BV108" s="4" t="s">
        <v>1</v>
      </c>
      <c r="BW108" s="4" t="str">
        <f t="shared" si="31"/>
        <v>Sim</v>
      </c>
      <c r="BX108" s="4" t="s">
        <v>1</v>
      </c>
      <c r="BY108" s="4" t="str">
        <f t="shared" si="32"/>
        <v>Sim</v>
      </c>
      <c r="BZ108" s="4" t="s">
        <v>3</v>
      </c>
      <c r="CA108" s="4" t="str">
        <f t="shared" si="33"/>
        <v>Sim</v>
      </c>
    </row>
    <row r="109" spans="2:79" ht="17.25" customHeight="1">
      <c r="B109" s="45" t="s">
        <v>77</v>
      </c>
      <c r="C109" s="44" t="s">
        <v>156</v>
      </c>
      <c r="D109" s="53" t="s">
        <v>187</v>
      </c>
      <c r="E109" s="6" t="s">
        <v>3</v>
      </c>
      <c r="F109" s="4">
        <v>0</v>
      </c>
      <c r="G109" s="4" t="s">
        <v>3</v>
      </c>
      <c r="H109" s="4">
        <v>0</v>
      </c>
      <c r="I109" s="4" t="s">
        <v>3</v>
      </c>
      <c r="J109" s="4">
        <v>0</v>
      </c>
      <c r="K109" s="4" t="s">
        <v>3</v>
      </c>
      <c r="L109" s="5">
        <v>0</v>
      </c>
      <c r="M109" s="7"/>
      <c r="N109" s="6" t="s">
        <v>3</v>
      </c>
      <c r="O109" s="4">
        <v>0</v>
      </c>
      <c r="P109" s="4" t="s">
        <v>3</v>
      </c>
      <c r="Q109" s="4">
        <v>0</v>
      </c>
      <c r="R109" s="4" t="s">
        <v>3</v>
      </c>
      <c r="S109" s="4">
        <v>1</v>
      </c>
      <c r="T109" s="4" t="s">
        <v>5</v>
      </c>
      <c r="U109" s="5">
        <v>1</v>
      </c>
      <c r="V109" s="7"/>
      <c r="W109" s="6" t="s">
        <v>3</v>
      </c>
      <c r="X109" s="4">
        <v>0</v>
      </c>
      <c r="Y109" s="4" t="s">
        <v>3</v>
      </c>
      <c r="Z109" s="4">
        <v>0</v>
      </c>
      <c r="AA109" s="4" t="s">
        <v>3</v>
      </c>
      <c r="AB109" s="4">
        <v>0</v>
      </c>
      <c r="AC109" s="4" t="s">
        <v>3</v>
      </c>
      <c r="AD109" s="5">
        <v>0</v>
      </c>
      <c r="AE109" s="7"/>
      <c r="AF109" s="6" t="s">
        <v>3</v>
      </c>
      <c r="AG109" s="4">
        <v>0</v>
      </c>
      <c r="AH109" s="4" t="s">
        <v>3</v>
      </c>
      <c r="AI109" s="4">
        <v>0</v>
      </c>
      <c r="AJ109" s="4" t="s">
        <v>3</v>
      </c>
      <c r="AK109" s="4">
        <v>0</v>
      </c>
      <c r="AL109" s="4" t="s">
        <v>3</v>
      </c>
      <c r="AM109" s="5">
        <v>0</v>
      </c>
      <c r="AN109" s="7"/>
      <c r="AO109" s="6" t="s">
        <v>13</v>
      </c>
      <c r="AP109" s="4" t="s">
        <v>13</v>
      </c>
      <c r="AQ109" s="4" t="s">
        <v>13</v>
      </c>
      <c r="AR109" s="5" t="s">
        <v>13</v>
      </c>
      <c r="AT109" s="4" t="s">
        <v>3</v>
      </c>
      <c r="AU109" s="4" t="str">
        <f t="shared" si="17"/>
        <v>Sim</v>
      </c>
      <c r="AV109" s="4" t="s">
        <v>3</v>
      </c>
      <c r="AW109" s="4" t="str">
        <f t="shared" si="18"/>
        <v>Sim</v>
      </c>
      <c r="AX109" s="4" t="s">
        <v>7</v>
      </c>
      <c r="AY109" s="4" t="str">
        <f t="shared" si="19"/>
        <v>Sim</v>
      </c>
      <c r="AZ109" s="4" t="s">
        <v>1</v>
      </c>
      <c r="BA109" s="4" t="str">
        <f t="shared" si="20"/>
        <v>Sim</v>
      </c>
      <c r="BB109" s="4" t="s">
        <v>5</v>
      </c>
      <c r="BC109" s="4" t="str">
        <f t="shared" si="21"/>
        <v>Sim</v>
      </c>
      <c r="BD109" s="4" t="s">
        <v>5</v>
      </c>
      <c r="BE109" s="4" t="str">
        <f t="shared" si="22"/>
        <v>Sim</v>
      </c>
      <c r="BF109" s="4" t="s">
        <v>1</v>
      </c>
      <c r="BG109" s="4" t="str">
        <f t="shared" si="23"/>
        <v>Sim</v>
      </c>
      <c r="BH109" s="4" t="s">
        <v>5</v>
      </c>
      <c r="BI109" s="4" t="str">
        <f t="shared" si="24"/>
        <v>Sim</v>
      </c>
      <c r="BJ109" s="4" t="s">
        <v>3</v>
      </c>
      <c r="BK109" s="4" t="str">
        <f t="shared" si="25"/>
        <v>Sim</v>
      </c>
      <c r="BL109" s="4" t="s">
        <v>1</v>
      </c>
      <c r="BM109" s="4" t="str">
        <f t="shared" si="26"/>
        <v>Sim</v>
      </c>
      <c r="BN109" s="4" t="s">
        <v>5</v>
      </c>
      <c r="BO109" s="4" t="str">
        <f t="shared" si="27"/>
        <v>Sim</v>
      </c>
      <c r="BP109" s="4" t="s">
        <v>5</v>
      </c>
      <c r="BQ109" s="4" t="str">
        <f t="shared" si="28"/>
        <v>Sim</v>
      </c>
      <c r="BR109" s="4" t="s">
        <v>3</v>
      </c>
      <c r="BS109" s="4" t="str">
        <f t="shared" si="29"/>
        <v>Sim</v>
      </c>
      <c r="BT109" s="4" t="s">
        <v>5</v>
      </c>
      <c r="BU109" s="4" t="str">
        <f t="shared" si="30"/>
        <v>Sim</v>
      </c>
      <c r="BV109" s="4" t="s">
        <v>3</v>
      </c>
      <c r="BW109" s="4" t="str">
        <f t="shared" si="31"/>
        <v>Sim</v>
      </c>
      <c r="BX109" s="4" t="s">
        <v>5</v>
      </c>
      <c r="BY109" s="4" t="str">
        <f t="shared" si="32"/>
        <v>Sim</v>
      </c>
      <c r="BZ109" s="4" t="s">
        <v>5</v>
      </c>
      <c r="CA109" s="4" t="str">
        <f t="shared" si="33"/>
        <v>Sim</v>
      </c>
    </row>
    <row r="110" spans="2:79">
      <c r="B110" s="46" t="s">
        <v>77</v>
      </c>
      <c r="C110" s="13" t="s">
        <v>156</v>
      </c>
      <c r="D110" s="54" t="s">
        <v>188</v>
      </c>
      <c r="E110" s="6" t="s">
        <v>3</v>
      </c>
      <c r="F110" s="4">
        <v>0</v>
      </c>
      <c r="G110" s="4" t="s">
        <v>3</v>
      </c>
      <c r="H110" s="4">
        <v>0</v>
      </c>
      <c r="I110" s="4" t="s">
        <v>3</v>
      </c>
      <c r="J110" s="4">
        <v>0</v>
      </c>
      <c r="K110" s="4" t="s">
        <v>3</v>
      </c>
      <c r="L110" s="5">
        <v>0</v>
      </c>
      <c r="M110" s="7"/>
      <c r="N110" s="6" t="s">
        <v>3</v>
      </c>
      <c r="O110" s="4">
        <v>0</v>
      </c>
      <c r="P110" s="4" t="s">
        <v>3</v>
      </c>
      <c r="Q110" s="4">
        <v>0</v>
      </c>
      <c r="R110" s="4" t="s">
        <v>3</v>
      </c>
      <c r="S110" s="4">
        <v>0</v>
      </c>
      <c r="T110" s="4" t="s">
        <v>3</v>
      </c>
      <c r="U110" s="5">
        <v>0</v>
      </c>
      <c r="V110" s="7"/>
      <c r="W110" s="6" t="s">
        <v>3</v>
      </c>
      <c r="X110" s="4">
        <v>0</v>
      </c>
      <c r="Y110" s="4" t="s">
        <v>3</v>
      </c>
      <c r="Z110" s="4">
        <v>0</v>
      </c>
      <c r="AA110" s="4" t="s">
        <v>3</v>
      </c>
      <c r="AB110" s="4">
        <v>0</v>
      </c>
      <c r="AC110" s="4" t="s">
        <v>3</v>
      </c>
      <c r="AD110" s="5">
        <v>0</v>
      </c>
      <c r="AE110" s="7"/>
      <c r="AF110" s="6" t="s">
        <v>3</v>
      </c>
      <c r="AG110" s="4">
        <v>0</v>
      </c>
      <c r="AH110" s="4" t="s">
        <v>3</v>
      </c>
      <c r="AI110" s="4">
        <v>0</v>
      </c>
      <c r="AJ110" s="4" t="s">
        <v>3</v>
      </c>
      <c r="AK110" s="4">
        <v>0</v>
      </c>
      <c r="AL110" s="4" t="s">
        <v>3</v>
      </c>
      <c r="AM110" s="5">
        <v>0</v>
      </c>
      <c r="AN110" s="7"/>
      <c r="AO110" s="6" t="s">
        <v>13</v>
      </c>
      <c r="AP110" s="4" t="s">
        <v>13</v>
      </c>
      <c r="AQ110" s="4" t="s">
        <v>13</v>
      </c>
      <c r="AR110" s="5" t="s">
        <v>13</v>
      </c>
      <c r="AT110" s="4" t="s">
        <v>3</v>
      </c>
      <c r="AU110" s="4" t="str">
        <f t="shared" si="17"/>
        <v>Sim</v>
      </c>
      <c r="AV110" s="4" t="s">
        <v>3</v>
      </c>
      <c r="AW110" s="4" t="str">
        <f t="shared" si="18"/>
        <v>Sim</v>
      </c>
      <c r="AX110" s="4" t="s">
        <v>3</v>
      </c>
      <c r="AY110" s="4" t="str">
        <f t="shared" si="19"/>
        <v>Sim</v>
      </c>
      <c r="AZ110" s="4" t="s">
        <v>1</v>
      </c>
      <c r="BA110" s="4" t="str">
        <f t="shared" si="20"/>
        <v>Sim</v>
      </c>
      <c r="BB110" s="4" t="s">
        <v>3</v>
      </c>
      <c r="BC110" s="4" t="str">
        <f t="shared" si="21"/>
        <v>Sim</v>
      </c>
      <c r="BD110" s="4" t="s">
        <v>5</v>
      </c>
      <c r="BE110" s="4" t="str">
        <f t="shared" si="22"/>
        <v>Sim</v>
      </c>
      <c r="BF110" s="4" t="s">
        <v>3</v>
      </c>
      <c r="BG110" s="4" t="str">
        <f t="shared" si="23"/>
        <v>Sim</v>
      </c>
      <c r="BH110" s="4" t="s">
        <v>3</v>
      </c>
      <c r="BI110" s="4" t="str">
        <f t="shared" si="24"/>
        <v>Sim</v>
      </c>
      <c r="BJ110" s="4" t="s">
        <v>5</v>
      </c>
      <c r="BK110" s="4" t="str">
        <f t="shared" si="25"/>
        <v>Sim</v>
      </c>
      <c r="BL110" s="4" t="s">
        <v>3</v>
      </c>
      <c r="BM110" s="4" t="str">
        <f t="shared" si="26"/>
        <v>Sim</v>
      </c>
      <c r="BN110" s="4" t="s">
        <v>5</v>
      </c>
      <c r="BO110" s="4" t="str">
        <f t="shared" si="27"/>
        <v>Sim</v>
      </c>
      <c r="BP110" s="4" t="s">
        <v>3</v>
      </c>
      <c r="BQ110" s="4" t="str">
        <f t="shared" si="28"/>
        <v>Sim</v>
      </c>
      <c r="BR110" s="4" t="s">
        <v>1</v>
      </c>
      <c r="BS110" s="4" t="str">
        <f t="shared" si="29"/>
        <v>Sim</v>
      </c>
      <c r="BT110" s="4" t="s">
        <v>1</v>
      </c>
      <c r="BU110" s="4" t="str">
        <f t="shared" si="30"/>
        <v>Sim</v>
      </c>
      <c r="BV110" s="4" t="s">
        <v>1</v>
      </c>
      <c r="BW110" s="4" t="str">
        <f t="shared" si="31"/>
        <v>Sim</v>
      </c>
      <c r="BX110" s="4" t="s">
        <v>3</v>
      </c>
      <c r="BY110" s="4" t="str">
        <f t="shared" si="32"/>
        <v>Sim</v>
      </c>
      <c r="BZ110" s="4" t="s">
        <v>3</v>
      </c>
      <c r="CA110" s="4" t="str">
        <f t="shared" si="33"/>
        <v>Sim</v>
      </c>
    </row>
    <row r="111" spans="2:79">
      <c r="B111" s="45" t="s">
        <v>77</v>
      </c>
      <c r="C111" s="44" t="s">
        <v>87</v>
      </c>
      <c r="D111" s="53" t="s">
        <v>189</v>
      </c>
      <c r="E111" s="6" t="s">
        <v>3</v>
      </c>
      <c r="F111" s="4">
        <v>0</v>
      </c>
      <c r="G111" s="4" t="s">
        <v>3</v>
      </c>
      <c r="H111" s="4">
        <v>0</v>
      </c>
      <c r="I111" s="4" t="s">
        <v>3</v>
      </c>
      <c r="J111" s="4">
        <v>0</v>
      </c>
      <c r="K111" s="4" t="s">
        <v>3</v>
      </c>
      <c r="L111" s="5">
        <v>0</v>
      </c>
      <c r="M111" s="7"/>
      <c r="N111" s="6" t="s">
        <v>3</v>
      </c>
      <c r="O111" s="4">
        <v>0</v>
      </c>
      <c r="P111" s="4" t="s">
        <v>3</v>
      </c>
      <c r="Q111" s="4">
        <v>0</v>
      </c>
      <c r="R111" s="4" t="s">
        <v>3</v>
      </c>
      <c r="S111" s="4">
        <v>0</v>
      </c>
      <c r="T111" s="4" t="s">
        <v>3</v>
      </c>
      <c r="U111" s="5">
        <v>0</v>
      </c>
      <c r="V111" s="7"/>
      <c r="W111" s="6" t="s">
        <v>3</v>
      </c>
      <c r="X111" s="4">
        <v>0</v>
      </c>
      <c r="Y111" s="4" t="s">
        <v>3</v>
      </c>
      <c r="Z111" s="4">
        <v>0</v>
      </c>
      <c r="AA111" s="4" t="s">
        <v>3</v>
      </c>
      <c r="AB111" s="4">
        <v>0</v>
      </c>
      <c r="AC111" s="4" t="s">
        <v>3</v>
      </c>
      <c r="AD111" s="5">
        <v>0</v>
      </c>
      <c r="AE111" s="7"/>
      <c r="AF111" s="6" t="s">
        <v>3</v>
      </c>
      <c r="AG111" s="4">
        <v>0</v>
      </c>
      <c r="AH111" s="4" t="s">
        <v>3</v>
      </c>
      <c r="AI111" s="4">
        <v>0</v>
      </c>
      <c r="AJ111" s="4" t="s">
        <v>3</v>
      </c>
      <c r="AK111" s="4">
        <v>0</v>
      </c>
      <c r="AL111" s="4" t="s">
        <v>3</v>
      </c>
      <c r="AM111" s="5">
        <v>0</v>
      </c>
      <c r="AN111" s="7"/>
      <c r="AO111" s="6" t="s">
        <v>13</v>
      </c>
      <c r="AP111" s="4" t="s">
        <v>13</v>
      </c>
      <c r="AQ111" s="4" t="s">
        <v>13</v>
      </c>
      <c r="AR111" s="5" t="s">
        <v>13</v>
      </c>
      <c r="AT111" s="4" t="s">
        <v>3</v>
      </c>
      <c r="AU111" s="4" t="str">
        <f t="shared" si="17"/>
        <v>Sim</v>
      </c>
      <c r="AV111" s="4" t="s">
        <v>3</v>
      </c>
      <c r="AW111" s="4" t="str">
        <f t="shared" si="18"/>
        <v>Sim</v>
      </c>
      <c r="AX111" s="4" t="s">
        <v>1</v>
      </c>
      <c r="AY111" s="4" t="str">
        <f t="shared" si="19"/>
        <v>Sim</v>
      </c>
      <c r="AZ111" s="4" t="s">
        <v>5</v>
      </c>
      <c r="BA111" s="4" t="str">
        <f t="shared" si="20"/>
        <v>Sim</v>
      </c>
      <c r="BB111" s="4" t="s">
        <v>3</v>
      </c>
      <c r="BC111" s="4" t="str">
        <f t="shared" si="21"/>
        <v>Sim</v>
      </c>
      <c r="BD111" s="4" t="s">
        <v>3</v>
      </c>
      <c r="BE111" s="4" t="str">
        <f t="shared" si="22"/>
        <v>Sim</v>
      </c>
      <c r="BF111" s="4" t="s">
        <v>1</v>
      </c>
      <c r="BG111" s="4" t="str">
        <f t="shared" si="23"/>
        <v>Sim</v>
      </c>
      <c r="BH111" s="4" t="s">
        <v>5</v>
      </c>
      <c r="BI111" s="4" t="str">
        <f t="shared" si="24"/>
        <v>Sim</v>
      </c>
      <c r="BJ111" s="4" t="s">
        <v>5</v>
      </c>
      <c r="BK111" s="4" t="str">
        <f t="shared" si="25"/>
        <v>Sim</v>
      </c>
      <c r="BL111" s="4" t="s">
        <v>1</v>
      </c>
      <c r="BM111" s="4" t="str">
        <f t="shared" si="26"/>
        <v>Sim</v>
      </c>
      <c r="BN111" s="4" t="s">
        <v>7</v>
      </c>
      <c r="BO111" s="4" t="str">
        <f t="shared" si="27"/>
        <v>Sim</v>
      </c>
      <c r="BP111" s="4" t="s">
        <v>1</v>
      </c>
      <c r="BQ111" s="4" t="str">
        <f t="shared" si="28"/>
        <v>Sim</v>
      </c>
      <c r="BR111" s="4" t="s">
        <v>1</v>
      </c>
      <c r="BS111" s="4" t="str">
        <f t="shared" si="29"/>
        <v>Sim</v>
      </c>
      <c r="BT111" s="4" t="s">
        <v>1</v>
      </c>
      <c r="BU111" s="4" t="str">
        <f t="shared" si="30"/>
        <v>Sim</v>
      </c>
      <c r="BV111" s="4" t="s">
        <v>3</v>
      </c>
      <c r="BW111" s="4" t="str">
        <f t="shared" si="31"/>
        <v>Sim</v>
      </c>
      <c r="BX111" s="4" t="s">
        <v>3</v>
      </c>
      <c r="BY111" s="4" t="str">
        <f t="shared" si="32"/>
        <v>Sim</v>
      </c>
      <c r="BZ111" s="4" t="s">
        <v>7</v>
      </c>
      <c r="CA111" s="4" t="str">
        <f t="shared" si="33"/>
        <v>Sim</v>
      </c>
    </row>
    <row r="112" spans="2:79">
      <c r="B112" s="51" t="s">
        <v>190</v>
      </c>
      <c r="C112" s="13" t="s">
        <v>57</v>
      </c>
      <c r="D112" s="54" t="s">
        <v>191</v>
      </c>
      <c r="E112" s="6" t="s">
        <v>17</v>
      </c>
      <c r="F112" s="4" t="s">
        <v>17</v>
      </c>
      <c r="G112" s="4" t="s">
        <v>17</v>
      </c>
      <c r="H112" s="4" t="s">
        <v>17</v>
      </c>
      <c r="I112" s="4" t="s">
        <v>17</v>
      </c>
      <c r="J112" s="4" t="s">
        <v>17</v>
      </c>
      <c r="K112" s="4" t="s">
        <v>17</v>
      </c>
      <c r="L112" s="5" t="s">
        <v>17</v>
      </c>
      <c r="M112" s="7"/>
      <c r="N112" s="6" t="s">
        <v>17</v>
      </c>
      <c r="O112" s="4" t="s">
        <v>17</v>
      </c>
      <c r="P112" s="4" t="s">
        <v>17</v>
      </c>
      <c r="Q112" s="4" t="s">
        <v>17</v>
      </c>
      <c r="R112" s="4" t="s">
        <v>17</v>
      </c>
      <c r="S112" s="4" t="s">
        <v>17</v>
      </c>
      <c r="T112" s="4" t="s">
        <v>17</v>
      </c>
      <c r="U112" s="5" t="s">
        <v>17</v>
      </c>
      <c r="V112" s="7"/>
      <c r="W112" s="6" t="s">
        <v>17</v>
      </c>
      <c r="X112" s="4" t="s">
        <v>17</v>
      </c>
      <c r="Y112" s="4" t="s">
        <v>17</v>
      </c>
      <c r="Z112" s="4" t="s">
        <v>17</v>
      </c>
      <c r="AA112" s="4" t="s">
        <v>17</v>
      </c>
      <c r="AB112" s="4" t="s">
        <v>17</v>
      </c>
      <c r="AC112" s="4" t="s">
        <v>17</v>
      </c>
      <c r="AD112" s="5" t="s">
        <v>17</v>
      </c>
      <c r="AE112" s="7"/>
      <c r="AF112" s="6" t="s">
        <v>3</v>
      </c>
      <c r="AG112" s="4">
        <v>0</v>
      </c>
      <c r="AH112" s="4" t="s">
        <v>3</v>
      </c>
      <c r="AI112" s="4">
        <v>0</v>
      </c>
      <c r="AJ112" s="4" t="s">
        <v>5</v>
      </c>
      <c r="AK112" s="4">
        <v>1</v>
      </c>
      <c r="AL112" s="4" t="s">
        <v>7</v>
      </c>
      <c r="AM112" s="5">
        <v>1</v>
      </c>
      <c r="AN112" s="7"/>
      <c r="AO112" s="6" t="s">
        <v>15</v>
      </c>
      <c r="AP112" s="4" t="s">
        <v>15</v>
      </c>
      <c r="AQ112" s="4" t="s">
        <v>15</v>
      </c>
      <c r="AR112" s="5" t="s">
        <v>13</v>
      </c>
      <c r="AT112" s="4" t="s">
        <v>17</v>
      </c>
      <c r="AU112" s="4" t="str">
        <f>IF($P112="N", "N",
    IF($B112="Não", "Sim",
        IF(OR(
            AT112=$P112,
            AND($P112="B", OR(AT112="B", AT112="P", AT112="O")),
            AND($P112="P", OR(AT112="P", AT112="O")),
            AND($P112="O", AT112="O")), "Sim", "Não")
    )
)</f>
        <v>N</v>
      </c>
      <c r="AV112" s="4" t="s">
        <v>17</v>
      </c>
      <c r="AW112" s="4" t="str">
        <f>IF($I112="N", "N",
    IF($B112="Não", "Sim",
        IF(OR(
            AV112=$I112,
            AND($I112="B", OR(AV112="B", AV112="P", AV112="O")),
            AND($I112="P", OR(AV112="P", AV112="O")),
            AND($I112="O", AV112="O")), "Sim", "Não")
    )
)</f>
        <v>N</v>
      </c>
      <c r="AX112" s="4" t="s">
        <v>17</v>
      </c>
      <c r="AY112" s="4" t="str">
        <f>IF($R112="N", "N",
    IF($B112="Não", "Sim",
        IF(OR(
            AX112=$R112,
            AND($R112="B", OR(AX112="B", AX112="P", AX112="O")),
            AND($R112="P", OR(AX112="P", AX112="O")),
            AND($R112="O", AX112="O")), "Sim", "Não")
    )
)</f>
        <v>N</v>
      </c>
      <c r="AZ112" s="4" t="s">
        <v>17</v>
      </c>
      <c r="BA112" s="4" t="str">
        <f>IF($I112="N", "N",
    IF($B112="Não", "Sim",
        IF(OR(
            AZ112=$I112,
            AND($I112="B", OR(AZ112="B", AZ112="P", AZ112="O")),
            AND($I112="P", OR(AZ112="P", AZ112="O")),
            AND($I112="O", AZ112="O")), "Sim", "Não")
    )
)</f>
        <v>N</v>
      </c>
      <c r="BB112" s="4" t="s">
        <v>3</v>
      </c>
      <c r="BC112" s="4" t="str">
        <f>IF($AJ112="N", "N",
    IF($B112="Não", "Sim",
        IF(OR(
            BB112=$AJ112,
            AND($AJ112="B", OR(BB112="B", BB112="P", BB112="O")),
            AND($AJ112="P", OR(BB112="P", BB112="O")),
            AND($AJ112="O", BB112="O")), "Sim", "Não")
    )
)</f>
        <v>Não</v>
      </c>
      <c r="BD112" s="4" t="s">
        <v>17</v>
      </c>
      <c r="BE112" s="4" t="str">
        <f>IF($AC112="N", "N",
    IF($B112="Não", "Sim",
        IF(OR(
            BD112=$AC112,
            AND($AC112="B", OR(BD112="B", BD112="P", BD112="O")),
            AND($AC112="P", OR(BD112="P", BD112="O")),
            AND($AC112="O", BD112="O")), "Sim", "Não")
    )
)</f>
        <v>N</v>
      </c>
      <c r="BF112" s="4" t="s">
        <v>17</v>
      </c>
      <c r="BG112" s="4" t="str">
        <f>IF($Y112="N", "N",
    IF($B112="Não", "Sim",
        IF(OR(
            BF112=$Y112,
            AND($Y112="B", OR(BF112="B", BF112="P", BF112="O")),
            AND($Y112="P", OR(BF112="P", BF112="O")),
            AND($Y112="O", BF112="O")), "Sim", "Não")
    )
)</f>
        <v>N</v>
      </c>
      <c r="BH112" s="4" t="s">
        <v>17</v>
      </c>
      <c r="BI112" s="4" t="str">
        <f>IF($K112="N", "N",
    IF($B112="Não", "Sim",
        IF(OR(
            BH112=$K112,
            AND($K112="B", OR(BH112="B", BH112="P", BH112="O")),
            AND($K112="P", OR(BH112="P", BH112="O")),
            AND($K112="O", BH112="O")), "Sim", "Não")
    )
)</f>
        <v>N</v>
      </c>
      <c r="BJ112" s="4" t="s">
        <v>17</v>
      </c>
      <c r="BK112" s="4" t="str">
        <f>IF($Y112="N", "N",
    IF($B112="Não", "Sim",
        IF(OR(
            BJ112=$Y112,
            AND($Y112="B", OR(BJ112="B", BJ112="P", BJ112="O")),
            AND($Y112="P", OR(BJ112="P", BJ112="O")),
            AND($Y112="O", BJ112="O")), "Sim", "Não")
    )
)</f>
        <v>N</v>
      </c>
      <c r="BL112" s="4" t="s">
        <v>17</v>
      </c>
      <c r="BM112" s="4" t="str">
        <f>IF($Y112="N", "N",
    IF($B112="Não", "Sim",
        IF(OR(
            BL112=$Y112,
            AND($Y112="B", OR(BL112="B", BL112="P", BL112="O")),
            AND($Y112="P", OR(BL112="P", BL112="O")),
            AND($Y112="O", BL112="O")), "Sim", "Não")
    )
)</f>
        <v>N</v>
      </c>
      <c r="BN112" s="4" t="s">
        <v>3</v>
      </c>
      <c r="BO112" s="4" t="str">
        <f>IF($AJ112="N", "N",
    IF($B112="Não", "Sim",
        IF(OR(
            BN112=$AJ112,
            AND($AJ112="B", OR(BN112="B", BN112="P", BN112="O")),
            AND($AJ112="P", OR(BN112="P", BN112="O")),
            AND($AJ112="O", BN112="O")), "Sim", "Não")
    )
)</f>
        <v>Não</v>
      </c>
      <c r="BP112" s="4" t="s">
        <v>17</v>
      </c>
      <c r="BQ112" s="4" t="str">
        <f>IF($T112="N", "N",
    IF($B112="Não", "Sim",
        IF(OR(
            BP112=$T112,
            AND($T112="B", OR(BP112="B", BP112="P", BP112="O")),
            AND($T112="P", OR(BP112="P", BP112="O")),
            AND($T112="O", BP112="O")), "Sim", "Não")
    )
)</f>
        <v>N</v>
      </c>
      <c r="BR112" s="4" t="s">
        <v>17</v>
      </c>
      <c r="BS112" s="4" t="str">
        <f>IF($I112="N", "N",
    IF($B112="Não", "Sim",
        IF(OR(
            BR112=$I112,
            AND($I112="B", OR(BR112="B", BR112="P", BR112="O")),
            AND($I112="P", OR(BR112="P", BR112="O")),
            AND($I112="O", BR112="O")), "Sim", "Não")
    )
)</f>
        <v>N</v>
      </c>
      <c r="BT112" s="4" t="s">
        <v>17</v>
      </c>
      <c r="BU112" s="4" t="str">
        <f>IF($G112="N", "N",
    IF($B112="Não", "Sim",
        IF(OR(
            BT112=$G112,
            AND($G112="B", OR(BT112="B", BT112="P", BT112="O")),
            AND($G112="P", OR(BT112="P", BT112="O")),
            AND($G112="O", BT112="O")), "Sim", "Não")
    )
)</f>
        <v>N</v>
      </c>
      <c r="BV112" s="4" t="s">
        <v>17</v>
      </c>
      <c r="BW112" s="4" t="str">
        <f>IF($G112="N", "N",
    IF($B112="Não", "Sim",
        IF(OR(
            BV112=$G112,
            AND($G112="B", OR(BV112="B", BV112="P", BV112="O")),
            AND($G112="P", OR(BV112="P", BV112="O")),
            AND($G112="O", BV112="O")), "Sim", "Não")
    )
)</f>
        <v>N</v>
      </c>
      <c r="BX112" s="4" t="s">
        <v>17</v>
      </c>
      <c r="BY112" s="4" t="str">
        <f>IF($P112="N", "N",
    IF($B112="Não", "Sim",
        IF(OR(
            BX112=$P112,
            AND($P112="B", OR(BX112="B", BX112="P", BX112="O")),
            AND($P112="P", OR(BX112="P", BX112="O")),
            AND($P112="O", BX112="O")), "Sim", "Não")
    )
)</f>
        <v>N</v>
      </c>
      <c r="BZ112" s="4" t="s">
        <v>17</v>
      </c>
      <c r="CA112" s="4" t="str">
        <f>IF($G112="N", "N",
    IF($B112="Não", "Sim",
        IF(OR(
            BZ112=$G112,
            AND($G112="B", OR(BZ112="B", BZ112="P", BZ112="O")),
            AND($G112="P", OR(BZ112="P", BZ112="O")),
            AND($G112="O", BZ112="O")), "Sim", "Não")
    )
)</f>
        <v>N</v>
      </c>
    </row>
    <row r="113" spans="2:79">
      <c r="B113" s="52" t="s">
        <v>190</v>
      </c>
      <c r="C113" s="44" t="s">
        <v>87</v>
      </c>
      <c r="D113" s="53" t="s">
        <v>192</v>
      </c>
      <c r="E113" s="6" t="s">
        <v>17</v>
      </c>
      <c r="F113" s="4" t="s">
        <v>17</v>
      </c>
      <c r="G113" s="4" t="s">
        <v>17</v>
      </c>
      <c r="H113" s="4" t="s">
        <v>17</v>
      </c>
      <c r="I113" s="4" t="s">
        <v>17</v>
      </c>
      <c r="J113" s="4" t="s">
        <v>17</v>
      </c>
      <c r="K113" s="4" t="s">
        <v>17</v>
      </c>
      <c r="L113" s="5" t="s">
        <v>17</v>
      </c>
      <c r="M113" s="7"/>
      <c r="N113" s="6" t="s">
        <v>17</v>
      </c>
      <c r="O113" s="4" t="s">
        <v>17</v>
      </c>
      <c r="P113" s="4" t="s">
        <v>17</v>
      </c>
      <c r="Q113" s="4" t="s">
        <v>17</v>
      </c>
      <c r="R113" s="4" t="s">
        <v>17</v>
      </c>
      <c r="S113" s="4" t="s">
        <v>17</v>
      </c>
      <c r="T113" s="4" t="s">
        <v>17</v>
      </c>
      <c r="U113" s="5" t="s">
        <v>17</v>
      </c>
      <c r="V113" s="7"/>
      <c r="W113" s="6" t="s">
        <v>3</v>
      </c>
      <c r="X113" s="4">
        <v>1</v>
      </c>
      <c r="Y113" s="4" t="s">
        <v>5</v>
      </c>
      <c r="Z113" s="4">
        <v>1</v>
      </c>
      <c r="AA113" s="4" t="s">
        <v>5</v>
      </c>
      <c r="AB113" s="4">
        <v>1</v>
      </c>
      <c r="AC113" s="4" t="s">
        <v>5</v>
      </c>
      <c r="AD113" s="5">
        <v>1</v>
      </c>
      <c r="AE113" s="7"/>
      <c r="AF113" s="6" t="s">
        <v>17</v>
      </c>
      <c r="AG113" s="4" t="s">
        <v>17</v>
      </c>
      <c r="AH113" s="4" t="s">
        <v>17</v>
      </c>
      <c r="AI113" s="4" t="s">
        <v>17</v>
      </c>
      <c r="AJ113" s="4" t="s">
        <v>17</v>
      </c>
      <c r="AK113" s="4" t="s">
        <v>17</v>
      </c>
      <c r="AL113" s="4" t="s">
        <v>17</v>
      </c>
      <c r="AM113" s="5" t="s">
        <v>17</v>
      </c>
      <c r="AN113" s="7"/>
      <c r="AO113" s="6" t="s">
        <v>15</v>
      </c>
      <c r="AP113" s="4" t="s">
        <v>15</v>
      </c>
      <c r="AQ113" s="4" t="s">
        <v>13</v>
      </c>
      <c r="AR113" s="5" t="s">
        <v>15</v>
      </c>
      <c r="AT113" s="4" t="s">
        <v>5</v>
      </c>
      <c r="AU113" s="4" t="str">
        <f>IF($P113="N", "N",
    IF($B113="Não", "Sim",
        IF(OR(
            AT113=$P113,
            AND($P113="B", OR(AT113="B", AT113="P", AT113="O")),
            AND($P113="P", OR(AT113="P", AT113="O")),
            AND($P113="O", AT113="O")), "Sim", "Não")
    )
)</f>
        <v>N</v>
      </c>
      <c r="AV113" s="4" t="s">
        <v>5</v>
      </c>
      <c r="AW113" s="4" t="str">
        <f>IF($I113="N", "N",
    IF($B113="Não", "Sim",
        IF(OR(
            AV113=$I113,
            AND($I113="B", OR(AV113="B", AV113="P", AV113="O")),
            AND($I113="P", OR(AV113="P", AV113="O")),
            AND($I113="O", AV113="O")), "Sim", "Não")
    )
)</f>
        <v>N</v>
      </c>
      <c r="AX113" s="4" t="s">
        <v>5</v>
      </c>
      <c r="AY113" s="4" t="str">
        <f>IF($R113="N", "N",
    IF($B113="Não", "Sim",
        IF(OR(
            AX113=$R113,
            AND($R113="B", OR(AX113="B", AX113="P", AX113="O")),
            AND($R113="P", OR(AX113="P", AX113="O")),
            AND($R113="O", AX113="O")), "Sim", "Não")
    )
)</f>
        <v>N</v>
      </c>
      <c r="AZ113" s="4" t="s">
        <v>17</v>
      </c>
      <c r="BA113" s="4" t="str">
        <f>IF($I113="N", "N",
    IF($B113="Não", "Sim",
        IF(OR(
            AZ113=$I113,
            AND($I113="B", OR(AZ113="B", AZ113="P", AZ113="O")),
            AND($I113="P", OR(AZ113="P", AZ113="O")),
            AND($I113="O", AZ113="O")), "Sim", "Não")
    )
)</f>
        <v>N</v>
      </c>
      <c r="BB113" s="4" t="s">
        <v>17</v>
      </c>
      <c r="BC113" s="4" t="str">
        <f>IF($AJ113="N", "N",
    IF($B113="Não", "Sim",
        IF(OR(
            BB113=$AJ113,
            AND($AJ113="B", OR(BB113="B", BB113="P", BB113="O")),
            AND($AJ113="P", OR(BB113="P", BB113="O")),
            AND($AJ113="O", BB113="O")), "Sim", "Não")
    )
)</f>
        <v>N</v>
      </c>
      <c r="BD113" s="4" t="s">
        <v>7</v>
      </c>
      <c r="BE113" s="4" t="str">
        <f>IF($AC113="N", "N",
    IF($B113="Não", "Sim",
        IF(OR(
            BD113=$AC113,
            AND($AC113="B", OR(BD113="B", BD113="P", BD113="O")),
            AND($AC113="P", OR(BD113="P", BD113="O")),
            AND($AC113="O", BD113="O")), "Sim", "Não")
    )
)</f>
        <v>Sim</v>
      </c>
      <c r="BF113" s="4" t="s">
        <v>5</v>
      </c>
      <c r="BG113" s="4" t="str">
        <f>IF($Y113="N", "N",
    IF($B113="Não", "Sim",
        IF(OR(
            BF113=$Y113,
            AND($Y113="B", OR(BF113="B", BF113="P", BF113="O")),
            AND($Y113="P", OR(BF113="P", BF113="O")),
            AND($Y113="O", BF113="O")), "Sim", "Não")
    )
)</f>
        <v>Sim</v>
      </c>
      <c r="BH113" s="4" t="s">
        <v>5</v>
      </c>
      <c r="BI113" s="4" t="str">
        <f>IF($K113="N", "N",
    IF($B113="Não", "Sim",
        IF(OR(
            BH113=$K113,
            AND($K113="B", OR(BH113="B", BH113="P", BH113="O")),
            AND($K113="P", OR(BH113="P", BH113="O")),
            AND($K113="O", BH113="O")), "Sim", "Não")
    )
)</f>
        <v>N</v>
      </c>
      <c r="BJ113" s="4" t="s">
        <v>5</v>
      </c>
      <c r="BK113" s="4" t="str">
        <f>IF($Y113="N", "N",
    IF($B113="Não", "Sim",
        IF(OR(
            BJ113=$Y113,
            AND($Y113="B", OR(BJ113="B", BJ113="P", BJ113="O")),
            AND($Y113="P", OR(BJ113="P", BJ113="O")),
            AND($Y113="O", BJ113="O")), "Sim", "Não")
    )
)</f>
        <v>Sim</v>
      </c>
      <c r="BL113" s="4" t="s">
        <v>5</v>
      </c>
      <c r="BM113" s="4" t="str">
        <f>IF($Y113="N", "N",
    IF($B113="Não", "Sim",
        IF(OR(
            BL113=$Y113,
            AND($Y113="B", OR(BL113="B", BL113="P", BL113="O")),
            AND($Y113="P", OR(BL113="P", BL113="O")),
            AND($Y113="O", BL113="O")), "Sim", "Não")
    )
)</f>
        <v>Sim</v>
      </c>
      <c r="BN113" s="4" t="s">
        <v>17</v>
      </c>
      <c r="BO113" s="4" t="str">
        <f>IF($AJ113="N", "N",
    IF($B113="Não", "Sim",
        IF(OR(
            BN113=$AJ113,
            AND($AJ113="B", OR(BN113="B", BN113="P", BN113="O")),
            AND($AJ113="P", OR(BN113="P", BN113="O")),
            AND($AJ113="O", BN113="O")), "Sim", "Não")
    )
)</f>
        <v>N</v>
      </c>
      <c r="BP113" s="4" t="s">
        <v>5</v>
      </c>
      <c r="BQ113" s="4" t="str">
        <f>IF($T113="N", "N",
    IF($B113="Não", "Sim",
        IF(OR(
            BP113=$T113,
            AND($T113="B", OR(BP113="B", BP113="P", BP113="O")),
            AND($T113="P", OR(BP113="P", BP113="O")),
            AND($T113="O", BP113="O")), "Sim", "Não")
    )
)</f>
        <v>N</v>
      </c>
      <c r="BR113" s="4" t="s">
        <v>5</v>
      </c>
      <c r="BS113" s="4" t="str">
        <f>IF($I113="N", "N",
    IF($B113="Não", "Sim",
        IF(OR(
            BR113=$I113,
            AND($I113="B", OR(BR113="B", BR113="P", BR113="O")),
            AND($I113="P", OR(BR113="P", BR113="O")),
            AND($I113="O", BR113="O")), "Sim", "Não")
    )
)</f>
        <v>N</v>
      </c>
      <c r="BT113" s="4" t="s">
        <v>5</v>
      </c>
      <c r="BU113" s="4" t="str">
        <f>IF($G113="N", "N",
    IF($B113="Não", "Sim",
        IF(OR(
            BT113=$G113,
            AND($G113="B", OR(BT113="B", BT113="P", BT113="O")),
            AND($G113="P", OR(BT113="P", BT113="O")),
            AND($G113="O", BT113="O")), "Sim", "Não")
    )
)</f>
        <v>N</v>
      </c>
      <c r="BV113" s="4" t="s">
        <v>3</v>
      </c>
      <c r="BW113" s="4" t="str">
        <f>IF($G113="N", "N",
    IF($B113="Não", "Sim",
        IF(OR(
            BV113=$G113,
            AND($G113="B", OR(BV113="B", BV113="P", BV113="O")),
            AND($G113="P", OR(BV113="P", BV113="O")),
            AND($G113="O", BV113="O")), "Sim", "Não")
    )
)</f>
        <v>N</v>
      </c>
      <c r="BX113" s="4" t="s">
        <v>5</v>
      </c>
      <c r="BY113" s="4" t="str">
        <f>IF($P113="N", "N",
    IF($B113="Não", "Sim",
        IF(OR(
            BX113=$P113,
            AND($P113="B", OR(BX113="B", BX113="P", BX113="O")),
            AND($P113="P", OR(BX113="P", BX113="O")),
            AND($P113="O", BX113="O")), "Sim", "Não")
    )
)</f>
        <v>N</v>
      </c>
      <c r="BZ113" s="4" t="s">
        <v>7</v>
      </c>
      <c r="CA113" s="4" t="str">
        <f>IF($G113="N", "N",
    IF($B113="Não", "Sim",
        IF(OR(
            BZ113=$G113,
            AND($G113="B", OR(BZ113="B", BZ113="P", BZ113="O")),
            AND($G113="P", OR(BZ113="P", BZ113="O")),
            AND($G113="O", BZ113="O")), "Sim", "Não")
    )
)</f>
        <v>N</v>
      </c>
    </row>
    <row r="114" spans="2:79">
      <c r="B114" s="51" t="s">
        <v>190</v>
      </c>
      <c r="C114" s="13" t="s">
        <v>156</v>
      </c>
      <c r="D114" s="54" t="s">
        <v>193</v>
      </c>
      <c r="E114" s="6" t="s">
        <v>3</v>
      </c>
      <c r="F114" s="4">
        <v>1</v>
      </c>
      <c r="G114" s="4" t="s">
        <v>5</v>
      </c>
      <c r="H114" s="4">
        <v>1</v>
      </c>
      <c r="I114" s="4" t="s">
        <v>5</v>
      </c>
      <c r="J114" s="4">
        <v>1</v>
      </c>
      <c r="K114" s="4" t="s">
        <v>5</v>
      </c>
      <c r="L114" s="5">
        <v>1</v>
      </c>
      <c r="M114" s="7"/>
      <c r="N114" s="6" t="s">
        <v>3</v>
      </c>
      <c r="O114" s="4">
        <v>1</v>
      </c>
      <c r="P114" s="4" t="s">
        <v>5</v>
      </c>
      <c r="Q114" s="4">
        <v>1</v>
      </c>
      <c r="R114" s="4" t="s">
        <v>5</v>
      </c>
      <c r="S114" s="4">
        <v>1</v>
      </c>
      <c r="T114" s="4" t="s">
        <v>5</v>
      </c>
      <c r="U114" s="5">
        <v>1</v>
      </c>
      <c r="V114" s="7"/>
      <c r="W114" s="6" t="s">
        <v>17</v>
      </c>
      <c r="X114" s="4" t="s">
        <v>17</v>
      </c>
      <c r="Y114" s="4" t="s">
        <v>17</v>
      </c>
      <c r="Z114" s="4" t="s">
        <v>17</v>
      </c>
      <c r="AA114" s="4" t="s">
        <v>17</v>
      </c>
      <c r="AB114" s="4" t="s">
        <v>17</v>
      </c>
      <c r="AC114" s="4" t="s">
        <v>17</v>
      </c>
      <c r="AD114" s="5" t="s">
        <v>17</v>
      </c>
      <c r="AE114" s="7"/>
      <c r="AF114" s="6" t="s">
        <v>17</v>
      </c>
      <c r="AG114" s="4" t="s">
        <v>17</v>
      </c>
      <c r="AH114" s="4" t="s">
        <v>17</v>
      </c>
      <c r="AI114" s="4" t="s">
        <v>17</v>
      </c>
      <c r="AJ114" s="4" t="s">
        <v>17</v>
      </c>
      <c r="AK114" s="4" t="s">
        <v>17</v>
      </c>
      <c r="AL114" s="4" t="s">
        <v>17</v>
      </c>
      <c r="AM114" s="5" t="s">
        <v>17</v>
      </c>
      <c r="AN114" s="7"/>
      <c r="AO114" s="6" t="s">
        <v>13</v>
      </c>
      <c r="AP114" s="4" t="s">
        <v>13</v>
      </c>
      <c r="AQ114" s="4" t="s">
        <v>13</v>
      </c>
      <c r="AR114" s="5" t="s">
        <v>13</v>
      </c>
      <c r="AT114" s="4" t="s">
        <v>3</v>
      </c>
      <c r="AU114" s="4" t="str">
        <f>IF($P114="N", "N",
    IF($B114="Não", "Sim",
        IF(OR(
            AT114=$P114,
            AND($P114="B", OR(AT114="B", AT114="P", AT114="O")),
            AND($P114="P", OR(AT114="P", AT114="O")),
            AND($P114="O", AT114="O")), "Sim", "Não")
    )
)</f>
        <v>Não</v>
      </c>
      <c r="AV114" s="4" t="s">
        <v>7</v>
      </c>
      <c r="AW114" s="4" t="str">
        <f>IF($I114="N", "N",
    IF($B114="Não", "Sim",
        IF(OR(
            AV114=$I114,
            AND($I114="B", OR(AV114="B", AV114="P", AV114="O")),
            AND($I114="P", OR(AV114="P", AV114="O")),
            AND($I114="O", AV114="O")), "Sim", "Não")
    )
)</f>
        <v>Sim</v>
      </c>
      <c r="AX114" s="4" t="s">
        <v>3</v>
      </c>
      <c r="AY114" s="4" t="str">
        <f>IF($R114="N", "N",
    IF($B114="Não", "Sim",
        IF(OR(
            AX114=$R114,
            AND($R114="B", OR(AX114="B", AX114="P", AX114="O")),
            AND($R114="P", OR(AX114="P", AX114="O")),
            AND($R114="O", AX114="O")), "Sim", "Não")
    )
)</f>
        <v>Não</v>
      </c>
      <c r="AZ114" s="4" t="s">
        <v>3</v>
      </c>
      <c r="BA114" s="4" t="str">
        <f>IF($I114="N", "N",
    IF($B114="Não", "Sim",
        IF(OR(
            AZ114=$I114,
            AND($I114="B", OR(AZ114="B", AZ114="P", AZ114="O")),
            AND($I114="P", OR(AZ114="P", AZ114="O")),
            AND($I114="O", AZ114="O")), "Sim", "Não")
    )
)</f>
        <v>Não</v>
      </c>
      <c r="BB114" s="4" t="s">
        <v>17</v>
      </c>
      <c r="BC114" s="4" t="str">
        <f>IF($AJ114="N", "N",
    IF($B114="Não", "Sim",
        IF(OR(
            BB114=$AJ114,
            AND($AJ114="B", OR(BB114="B", BB114="P", BB114="O")),
            AND($AJ114="P", OR(BB114="P", BB114="O")),
            AND($AJ114="O", BB114="O")), "Sim", "Não")
    )
)</f>
        <v>N</v>
      </c>
      <c r="BD114" s="4" t="s">
        <v>17</v>
      </c>
      <c r="BE114" s="4" t="str">
        <f>IF($AC114="N", "N",
    IF($B114="Não", "Sim",
        IF(OR(
            BD114=$AC114,
            AND($AC114="B", OR(BD114="B", BD114="P", BD114="O")),
            AND($AC114="P", OR(BD114="P", BD114="O")),
            AND($AC114="O", BD114="O")), "Sim", "Não")
    )
)</f>
        <v>N</v>
      </c>
      <c r="BF114" s="4" t="s">
        <v>17</v>
      </c>
      <c r="BG114" s="4" t="str">
        <f>IF($Y114="N", "N",
    IF($B114="Não", "Sim",
        IF(OR(
            BF114=$Y114,
            AND($Y114="B", OR(BF114="B", BF114="P", BF114="O")),
            AND($Y114="P", OR(BF114="P", BF114="O")),
            AND($Y114="O", BF114="O")), "Sim", "Não")
    )
)</f>
        <v>N</v>
      </c>
      <c r="BH114" s="4" t="s">
        <v>7</v>
      </c>
      <c r="BI114" s="4" t="str">
        <f>IF($K114="N", "N",
    IF($B114="Não", "Sim",
        IF(OR(
            BH114=$K114,
            AND($K114="B", OR(BH114="B", BH114="P", BH114="O")),
            AND($K114="P", OR(BH114="P", BH114="O")),
            AND($K114="O", BH114="O")), "Sim", "Não")
    )
)</f>
        <v>Sim</v>
      </c>
      <c r="BJ114" s="4" t="s">
        <v>17</v>
      </c>
      <c r="BK114" s="4" t="str">
        <f>IF($Y114="N", "N",
    IF($B114="Não", "Sim",
        IF(OR(
            BJ114=$Y114,
            AND($Y114="B", OR(BJ114="B", BJ114="P", BJ114="O")),
            AND($Y114="P", OR(BJ114="P", BJ114="O")),
            AND($Y114="O", BJ114="O")), "Sim", "Não")
    )
)</f>
        <v>N</v>
      </c>
      <c r="BL114" s="4" t="s">
        <v>17</v>
      </c>
      <c r="BM114" s="4" t="str">
        <f>IF($Y114="N", "N",
    IF($B114="Não", "Sim",
        IF(OR(
            BL114=$Y114,
            AND($Y114="B", OR(BL114="B", BL114="P", BL114="O")),
            AND($Y114="P", OR(BL114="P", BL114="O")),
            AND($Y114="O", BL114="O")), "Sim", "Não")
    )
)</f>
        <v>N</v>
      </c>
      <c r="BN114" s="4" t="s">
        <v>17</v>
      </c>
      <c r="BO114" s="4" t="str">
        <f>IF($AJ114="N", "N",
    IF($B114="Não", "Sim",
        IF(OR(
            BN114=$AJ114,
            AND($AJ114="B", OR(BN114="B", BN114="P", BN114="O")),
            AND($AJ114="P", OR(BN114="P", BN114="O")),
            AND($AJ114="O", BN114="O")), "Sim", "Não")
    )
)</f>
        <v>N</v>
      </c>
      <c r="BP114" s="4" t="s">
        <v>5</v>
      </c>
      <c r="BQ114" s="4" t="str">
        <f>IF($T114="N", "N",
    IF($B114="Não", "Sim",
        IF(OR(
            BP114=$T114,
            AND($T114="B", OR(BP114="B", BP114="P", BP114="O")),
            AND($T114="P", OR(BP114="P", BP114="O")),
            AND($T114="O", BP114="O")), "Sim", "Não")
    )
)</f>
        <v>Sim</v>
      </c>
      <c r="BR114" s="4" t="s">
        <v>7</v>
      </c>
      <c r="BS114" s="4" t="str">
        <f>IF($I114="N", "N",
    IF($B114="Não", "Sim",
        IF(OR(
            BR114=$I114,
            AND($I114="B", OR(BR114="B", BR114="P", BR114="O")),
            AND($I114="P", OR(BR114="P", BR114="O")),
            AND($I114="O", BR114="O")), "Sim", "Não")
    )
)</f>
        <v>Sim</v>
      </c>
      <c r="BT114" s="4" t="s">
        <v>3</v>
      </c>
      <c r="BU114" s="4" t="str">
        <f>IF($G114="N", "N",
    IF($B114="Não", "Sim",
        IF(OR(
            BT114=$G114,
            AND($G114="B", OR(BT114="B", BT114="P", BT114="O")),
            AND($G114="P", OR(BT114="P", BT114="O")),
            AND($G114="O", BT114="O")), "Sim", "Não")
    )
)</f>
        <v>Não</v>
      </c>
      <c r="BV114" s="4" t="s">
        <v>3</v>
      </c>
      <c r="BW114" s="4" t="str">
        <f>IF($G114="N", "N",
    IF($B114="Não", "Sim",
        IF(OR(
            BV114=$G114,
            AND($G114="B", OR(BV114="B", BV114="P", BV114="O")),
            AND($G114="P", OR(BV114="P", BV114="O")),
            AND($G114="O", BV114="O")), "Sim", "Não")
    )
)</f>
        <v>Não</v>
      </c>
      <c r="BX114" s="4" t="s">
        <v>3</v>
      </c>
      <c r="BY114" s="4" t="str">
        <f>IF($P114="N", "N",
    IF($B114="Não", "Sim",
        IF(OR(
            BX114=$P114,
            AND($P114="B", OR(BX114="B", BX114="P", BX114="O")),
            AND($P114="P", OR(BX114="P", BX114="O")),
            AND($P114="O", BX114="O")), "Sim", "Não")
    )
)</f>
        <v>Não</v>
      </c>
      <c r="BZ114" s="4" t="s">
        <v>3</v>
      </c>
      <c r="CA114" s="4" t="str">
        <f>IF($G114="N", "N",
    IF($B114="Não", "Sim",
        IF(OR(
            BZ114=$G114,
            AND($G114="B", OR(BZ114="B", BZ114="P", BZ114="O")),
            AND($G114="P", OR(BZ114="P", BZ114="O")),
            AND($G114="O", BZ114="O")), "Sim", "Não")
    )
)</f>
        <v>Não</v>
      </c>
    </row>
    <row r="115" spans="2:79" ht="18" customHeight="1">
      <c r="B115" s="52" t="s">
        <v>190</v>
      </c>
      <c r="C115" s="44" t="s">
        <v>156</v>
      </c>
      <c r="D115" s="53" t="s">
        <v>194</v>
      </c>
      <c r="E115" s="6" t="s">
        <v>3</v>
      </c>
      <c r="F115" s="4">
        <v>1</v>
      </c>
      <c r="G115" s="4" t="s">
        <v>3</v>
      </c>
      <c r="H115" s="4">
        <v>1</v>
      </c>
      <c r="I115" s="4" t="s">
        <v>5</v>
      </c>
      <c r="J115" s="4">
        <v>1</v>
      </c>
      <c r="K115" s="4" t="s">
        <v>7</v>
      </c>
      <c r="L115" s="5">
        <v>1</v>
      </c>
      <c r="M115" s="7"/>
      <c r="N115" s="6" t="s">
        <v>17</v>
      </c>
      <c r="O115" s="4" t="s">
        <v>17</v>
      </c>
      <c r="P115" s="4" t="s">
        <v>17</v>
      </c>
      <c r="Q115" s="4" t="s">
        <v>17</v>
      </c>
      <c r="R115" s="4" t="s">
        <v>17</v>
      </c>
      <c r="S115" s="4" t="s">
        <v>17</v>
      </c>
      <c r="T115" s="4" t="s">
        <v>17</v>
      </c>
      <c r="U115" s="5" t="s">
        <v>17</v>
      </c>
      <c r="V115" s="7"/>
      <c r="W115" s="6" t="s">
        <v>17</v>
      </c>
      <c r="X115" s="4" t="s">
        <v>17</v>
      </c>
      <c r="Y115" s="4" t="s">
        <v>17</v>
      </c>
      <c r="Z115" s="4" t="s">
        <v>17</v>
      </c>
      <c r="AA115" s="4" t="s">
        <v>17</v>
      </c>
      <c r="AB115" s="4" t="s">
        <v>17</v>
      </c>
      <c r="AC115" s="4" t="s">
        <v>17</v>
      </c>
      <c r="AD115" s="5" t="s">
        <v>17</v>
      </c>
      <c r="AE115" s="7"/>
      <c r="AF115" s="6" t="s">
        <v>17</v>
      </c>
      <c r="AG115" s="4" t="s">
        <v>17</v>
      </c>
      <c r="AH115" s="4" t="s">
        <v>17</v>
      </c>
      <c r="AI115" s="4" t="s">
        <v>17</v>
      </c>
      <c r="AJ115" s="4" t="s">
        <v>17</v>
      </c>
      <c r="AK115" s="4" t="s">
        <v>17</v>
      </c>
      <c r="AL115" s="4" t="s">
        <v>17</v>
      </c>
      <c r="AM115" s="5" t="s">
        <v>17</v>
      </c>
      <c r="AN115" s="7"/>
      <c r="AO115" s="6" t="s">
        <v>13</v>
      </c>
      <c r="AP115" s="4" t="s">
        <v>15</v>
      </c>
      <c r="AQ115" s="4" t="s">
        <v>15</v>
      </c>
      <c r="AR115" s="5" t="s">
        <v>15</v>
      </c>
      <c r="AT115" s="4" t="s">
        <v>17</v>
      </c>
      <c r="AU115" s="4" t="str">
        <f t="shared" si="17"/>
        <v>N</v>
      </c>
      <c r="AV115" s="4" t="s">
        <v>7</v>
      </c>
      <c r="AW115" s="4" t="str">
        <f t="shared" si="18"/>
        <v>Sim</v>
      </c>
      <c r="AX115" s="4" t="s">
        <v>17</v>
      </c>
      <c r="AY115" s="4" t="str">
        <f t="shared" si="19"/>
        <v>N</v>
      </c>
      <c r="AZ115" s="4" t="s">
        <v>1</v>
      </c>
      <c r="BA115" s="4" t="str">
        <f t="shared" si="20"/>
        <v>Não</v>
      </c>
      <c r="BB115" s="4" t="s">
        <v>17</v>
      </c>
      <c r="BC115" s="4" t="str">
        <f t="shared" si="21"/>
        <v>N</v>
      </c>
      <c r="BD115" s="4" t="s">
        <v>17</v>
      </c>
      <c r="BE115" s="4" t="str">
        <f t="shared" si="22"/>
        <v>N</v>
      </c>
      <c r="BF115" s="4" t="s">
        <v>17</v>
      </c>
      <c r="BG115" s="4" t="str">
        <f t="shared" si="23"/>
        <v>N</v>
      </c>
      <c r="BH115" s="4" t="s">
        <v>3</v>
      </c>
      <c r="BI115" s="4" t="str">
        <f t="shared" si="24"/>
        <v>Não</v>
      </c>
      <c r="BJ115" s="4" t="s">
        <v>17</v>
      </c>
      <c r="BK115" s="4" t="str">
        <f t="shared" si="25"/>
        <v>N</v>
      </c>
      <c r="BL115" s="4" t="s">
        <v>17</v>
      </c>
      <c r="BM115" s="4" t="str">
        <f t="shared" si="26"/>
        <v>N</v>
      </c>
      <c r="BN115" s="4" t="s">
        <v>17</v>
      </c>
      <c r="BO115" s="4" t="str">
        <f t="shared" si="27"/>
        <v>N</v>
      </c>
      <c r="BP115" s="4" t="s">
        <v>17</v>
      </c>
      <c r="BQ115" s="4" t="str">
        <f t="shared" si="28"/>
        <v>N</v>
      </c>
      <c r="BR115" s="4" t="s">
        <v>5</v>
      </c>
      <c r="BS115" s="4" t="str">
        <f t="shared" si="29"/>
        <v>Sim</v>
      </c>
      <c r="BT115" s="4" t="s">
        <v>3</v>
      </c>
      <c r="BU115" s="4" t="str">
        <f t="shared" si="30"/>
        <v>Sim</v>
      </c>
      <c r="BV115" s="4" t="s">
        <v>3</v>
      </c>
      <c r="BW115" s="4" t="str">
        <f t="shared" si="31"/>
        <v>Sim</v>
      </c>
      <c r="BX115" s="4" t="s">
        <v>17</v>
      </c>
      <c r="BY115" s="4" t="str">
        <f t="shared" si="32"/>
        <v>N</v>
      </c>
      <c r="BZ115" s="4" t="s">
        <v>3</v>
      </c>
      <c r="CA115" s="4" t="str">
        <f t="shared" si="33"/>
        <v>Sim</v>
      </c>
    </row>
    <row r="116" spans="2:79" ht="18" customHeight="1">
      <c r="B116" s="51" t="s">
        <v>190</v>
      </c>
      <c r="C116" s="13" t="s">
        <v>195</v>
      </c>
      <c r="D116" s="54" t="s">
        <v>196</v>
      </c>
      <c r="E116" s="6" t="s">
        <v>17</v>
      </c>
      <c r="F116" s="4" t="s">
        <v>17</v>
      </c>
      <c r="G116" s="4" t="s">
        <v>17</v>
      </c>
      <c r="H116" s="4" t="s">
        <v>17</v>
      </c>
      <c r="I116" s="4" t="s">
        <v>17</v>
      </c>
      <c r="J116" s="4" t="s">
        <v>17</v>
      </c>
      <c r="K116" s="4" t="s">
        <v>17</v>
      </c>
      <c r="L116" s="5" t="s">
        <v>17</v>
      </c>
      <c r="M116" s="7"/>
      <c r="N116" s="6" t="s">
        <v>17</v>
      </c>
      <c r="O116" s="4" t="s">
        <v>17</v>
      </c>
      <c r="P116" s="4" t="s">
        <v>17</v>
      </c>
      <c r="Q116" s="4" t="s">
        <v>17</v>
      </c>
      <c r="R116" s="4" t="s">
        <v>17</v>
      </c>
      <c r="S116" s="4" t="s">
        <v>17</v>
      </c>
      <c r="T116" s="4" t="s">
        <v>17</v>
      </c>
      <c r="U116" s="5" t="s">
        <v>17</v>
      </c>
      <c r="V116" s="7"/>
      <c r="W116" s="6" t="s">
        <v>17</v>
      </c>
      <c r="X116" s="4" t="s">
        <v>17</v>
      </c>
      <c r="Y116" s="4" t="s">
        <v>17</v>
      </c>
      <c r="Z116" s="4" t="s">
        <v>17</v>
      </c>
      <c r="AA116" s="4" t="s">
        <v>17</v>
      </c>
      <c r="AB116" s="4" t="s">
        <v>17</v>
      </c>
      <c r="AC116" s="4" t="s">
        <v>17</v>
      </c>
      <c r="AD116" s="5" t="s">
        <v>17</v>
      </c>
      <c r="AE116" s="7"/>
      <c r="AF116" s="6" t="s">
        <v>3</v>
      </c>
      <c r="AG116" s="4">
        <v>1</v>
      </c>
      <c r="AH116" s="4" t="s">
        <v>5</v>
      </c>
      <c r="AI116" s="4">
        <v>1</v>
      </c>
      <c r="AJ116" s="4" t="s">
        <v>5</v>
      </c>
      <c r="AK116" s="4">
        <v>1</v>
      </c>
      <c r="AL116" s="4" t="s">
        <v>7</v>
      </c>
      <c r="AM116" s="5">
        <v>1</v>
      </c>
      <c r="AN116" s="7"/>
      <c r="AO116" s="6" t="s">
        <v>15</v>
      </c>
      <c r="AP116" s="4" t="s">
        <v>15</v>
      </c>
      <c r="AQ116" s="4" t="s">
        <v>15</v>
      </c>
      <c r="AR116" s="5" t="s">
        <v>13</v>
      </c>
      <c r="AT116" s="4" t="s">
        <v>17</v>
      </c>
      <c r="AU116" s="4" t="str">
        <f t="shared" si="17"/>
        <v>N</v>
      </c>
      <c r="AV116" s="4" t="s">
        <v>17</v>
      </c>
      <c r="AW116" s="4" t="str">
        <f t="shared" si="18"/>
        <v>N</v>
      </c>
      <c r="AX116" s="4" t="s">
        <v>17</v>
      </c>
      <c r="AY116" s="4" t="str">
        <f t="shared" si="19"/>
        <v>N</v>
      </c>
      <c r="AZ116" s="4" t="s">
        <v>17</v>
      </c>
      <c r="BA116" s="4" t="str">
        <f t="shared" si="20"/>
        <v>N</v>
      </c>
      <c r="BB116" s="4" t="s">
        <v>5</v>
      </c>
      <c r="BC116" s="4" t="str">
        <f t="shared" si="21"/>
        <v>Sim</v>
      </c>
      <c r="BD116" s="4" t="s">
        <v>17</v>
      </c>
      <c r="BE116" s="4" t="str">
        <f t="shared" si="22"/>
        <v>N</v>
      </c>
      <c r="BF116" s="4" t="s">
        <v>17</v>
      </c>
      <c r="BG116" s="4" t="str">
        <f t="shared" si="23"/>
        <v>N</v>
      </c>
      <c r="BH116" s="4" t="s">
        <v>17</v>
      </c>
      <c r="BI116" s="4" t="str">
        <f t="shared" si="24"/>
        <v>N</v>
      </c>
      <c r="BJ116" s="4" t="s">
        <v>17</v>
      </c>
      <c r="BK116" s="4" t="str">
        <f t="shared" si="25"/>
        <v>N</v>
      </c>
      <c r="BL116" s="4" t="s">
        <v>17</v>
      </c>
      <c r="BM116" s="4" t="str">
        <f t="shared" si="26"/>
        <v>N</v>
      </c>
      <c r="BN116" s="4" t="s">
        <v>3</v>
      </c>
      <c r="BO116" s="4" t="str">
        <f t="shared" si="27"/>
        <v>Não</v>
      </c>
      <c r="BP116" s="4" t="s">
        <v>17</v>
      </c>
      <c r="BQ116" s="4" t="str">
        <f t="shared" si="28"/>
        <v>N</v>
      </c>
      <c r="BR116" s="4" t="s">
        <v>17</v>
      </c>
      <c r="BS116" s="4" t="str">
        <f t="shared" si="29"/>
        <v>N</v>
      </c>
      <c r="BT116" s="4" t="s">
        <v>17</v>
      </c>
      <c r="BU116" s="4" t="str">
        <f t="shared" si="30"/>
        <v>N</v>
      </c>
      <c r="BV116" s="4" t="s">
        <v>17</v>
      </c>
      <c r="BW116" s="4" t="str">
        <f t="shared" si="31"/>
        <v>N</v>
      </c>
      <c r="BX116" s="4" t="s">
        <v>17</v>
      </c>
      <c r="BY116" s="4" t="str">
        <f t="shared" si="32"/>
        <v>N</v>
      </c>
      <c r="BZ116" s="4" t="s">
        <v>17</v>
      </c>
      <c r="CA116" s="4" t="str">
        <f t="shared" si="33"/>
        <v>N</v>
      </c>
    </row>
    <row r="117" spans="2:79" ht="17.25" customHeight="1">
      <c r="B117" s="52" t="s">
        <v>190</v>
      </c>
      <c r="C117" s="44" t="s">
        <v>156</v>
      </c>
      <c r="D117" s="53" t="s">
        <v>197</v>
      </c>
      <c r="E117" s="6" t="s">
        <v>17</v>
      </c>
      <c r="F117" s="4" t="s">
        <v>17</v>
      </c>
      <c r="G117" s="4" t="s">
        <v>17</v>
      </c>
      <c r="H117" s="4" t="s">
        <v>17</v>
      </c>
      <c r="I117" s="4" t="s">
        <v>17</v>
      </c>
      <c r="J117" s="4" t="s">
        <v>17</v>
      </c>
      <c r="K117" s="4" t="s">
        <v>17</v>
      </c>
      <c r="L117" s="5" t="s">
        <v>17</v>
      </c>
      <c r="M117" s="7"/>
      <c r="N117" s="6" t="s">
        <v>17</v>
      </c>
      <c r="O117" s="4" t="s">
        <v>17</v>
      </c>
      <c r="P117" s="4" t="s">
        <v>17</v>
      </c>
      <c r="Q117" s="4" t="s">
        <v>17</v>
      </c>
      <c r="R117" s="4" t="s">
        <v>17</v>
      </c>
      <c r="S117" s="4" t="s">
        <v>17</v>
      </c>
      <c r="T117" s="4" t="s">
        <v>17</v>
      </c>
      <c r="U117" s="5" t="s">
        <v>17</v>
      </c>
      <c r="V117" s="7"/>
      <c r="W117" s="6" t="s">
        <v>3</v>
      </c>
      <c r="X117" s="4">
        <v>1</v>
      </c>
      <c r="Y117" s="4" t="s">
        <v>5</v>
      </c>
      <c r="Z117" s="4">
        <v>1</v>
      </c>
      <c r="AA117" s="4" t="s">
        <v>7</v>
      </c>
      <c r="AB117" s="4">
        <v>1</v>
      </c>
      <c r="AC117" s="4" t="s">
        <v>7</v>
      </c>
      <c r="AD117" s="5">
        <v>1</v>
      </c>
      <c r="AE117" s="7"/>
      <c r="AF117" s="6" t="s">
        <v>17</v>
      </c>
      <c r="AG117" s="4" t="s">
        <v>17</v>
      </c>
      <c r="AH117" s="4" t="s">
        <v>17</v>
      </c>
      <c r="AI117" s="4" t="s">
        <v>17</v>
      </c>
      <c r="AJ117" s="4" t="s">
        <v>17</v>
      </c>
      <c r="AK117" s="4" t="s">
        <v>17</v>
      </c>
      <c r="AL117" s="4" t="s">
        <v>17</v>
      </c>
      <c r="AM117" s="5" t="s">
        <v>17</v>
      </c>
      <c r="AN117" s="7"/>
      <c r="AO117" s="6" t="s">
        <v>15</v>
      </c>
      <c r="AP117" s="4" t="s">
        <v>15</v>
      </c>
      <c r="AQ117" s="4" t="s">
        <v>13</v>
      </c>
      <c r="AR117" s="5" t="s">
        <v>15</v>
      </c>
      <c r="AT117" s="4" t="s">
        <v>17</v>
      </c>
      <c r="AU117" s="4" t="str">
        <f t="shared" si="17"/>
        <v>N</v>
      </c>
      <c r="AV117" s="4" t="s">
        <v>17</v>
      </c>
      <c r="AW117" s="4" t="str">
        <f t="shared" si="18"/>
        <v>N</v>
      </c>
      <c r="AX117" s="4" t="s">
        <v>17</v>
      </c>
      <c r="AY117" s="4" t="str">
        <f t="shared" si="19"/>
        <v>N</v>
      </c>
      <c r="AZ117" s="4" t="s">
        <v>17</v>
      </c>
      <c r="BA117" s="4" t="str">
        <f t="shared" si="20"/>
        <v>N</v>
      </c>
      <c r="BB117" s="4" t="s">
        <v>17</v>
      </c>
      <c r="BC117" s="4" t="str">
        <f t="shared" si="21"/>
        <v>N</v>
      </c>
      <c r="BD117" s="4" t="s">
        <v>5</v>
      </c>
      <c r="BE117" s="4" t="str">
        <f t="shared" si="22"/>
        <v>Não</v>
      </c>
      <c r="BF117" s="4" t="s">
        <v>3</v>
      </c>
      <c r="BG117" s="4" t="str">
        <f t="shared" si="23"/>
        <v>Não</v>
      </c>
      <c r="BH117" s="4" t="s">
        <v>17</v>
      </c>
      <c r="BI117" s="4" t="str">
        <f t="shared" si="24"/>
        <v>N</v>
      </c>
      <c r="BJ117" s="4" t="s">
        <v>5</v>
      </c>
      <c r="BK117" s="4" t="str">
        <f t="shared" si="25"/>
        <v>Sim</v>
      </c>
      <c r="BL117" s="4" t="s">
        <v>3</v>
      </c>
      <c r="BM117" s="4" t="str">
        <f t="shared" si="26"/>
        <v>Não</v>
      </c>
      <c r="BN117" s="4" t="s">
        <v>17</v>
      </c>
      <c r="BO117" s="4" t="str">
        <f t="shared" si="27"/>
        <v>N</v>
      </c>
      <c r="BP117" s="4" t="s">
        <v>17</v>
      </c>
      <c r="BQ117" s="4" t="str">
        <f t="shared" si="28"/>
        <v>N</v>
      </c>
      <c r="BR117" s="4" t="s">
        <v>17</v>
      </c>
      <c r="BS117" s="4" t="str">
        <f t="shared" si="29"/>
        <v>N</v>
      </c>
      <c r="BT117" s="4" t="s">
        <v>17</v>
      </c>
      <c r="BU117" s="4" t="str">
        <f t="shared" si="30"/>
        <v>N</v>
      </c>
      <c r="BV117" s="4" t="s">
        <v>17</v>
      </c>
      <c r="BW117" s="4" t="str">
        <f t="shared" si="31"/>
        <v>N</v>
      </c>
      <c r="BX117" s="4" t="s">
        <v>17</v>
      </c>
      <c r="BY117" s="4" t="str">
        <f t="shared" si="32"/>
        <v>N</v>
      </c>
      <c r="BZ117" s="4" t="s">
        <v>17</v>
      </c>
      <c r="CA117" s="4" t="str">
        <f t="shared" si="33"/>
        <v>N</v>
      </c>
    </row>
    <row r="118" spans="2:79" ht="17.25" customHeight="1">
      <c r="B118" s="51" t="s">
        <v>190</v>
      </c>
      <c r="C118" s="13" t="s">
        <v>156</v>
      </c>
      <c r="D118" s="54" t="s">
        <v>198</v>
      </c>
      <c r="E118" s="6" t="s">
        <v>17</v>
      </c>
      <c r="F118" s="4" t="s">
        <v>17</v>
      </c>
      <c r="G118" s="4" t="s">
        <v>17</v>
      </c>
      <c r="H118" s="4" t="s">
        <v>17</v>
      </c>
      <c r="I118" s="4" t="s">
        <v>17</v>
      </c>
      <c r="J118" s="4" t="s">
        <v>17</v>
      </c>
      <c r="K118" s="4" t="s">
        <v>17</v>
      </c>
      <c r="L118" s="5" t="s">
        <v>17</v>
      </c>
      <c r="M118" s="7"/>
      <c r="N118" s="6" t="s">
        <v>17</v>
      </c>
      <c r="O118" s="4" t="s">
        <v>17</v>
      </c>
      <c r="P118" s="4" t="s">
        <v>17</v>
      </c>
      <c r="Q118" s="4" t="s">
        <v>17</v>
      </c>
      <c r="R118" s="4" t="s">
        <v>17</v>
      </c>
      <c r="S118" s="4" t="s">
        <v>17</v>
      </c>
      <c r="T118" s="4" t="s">
        <v>17</v>
      </c>
      <c r="U118" s="5" t="s">
        <v>17</v>
      </c>
      <c r="V118" s="7"/>
      <c r="W118" s="6" t="s">
        <v>3</v>
      </c>
      <c r="X118" s="4">
        <v>1</v>
      </c>
      <c r="Y118" s="4" t="s">
        <v>5</v>
      </c>
      <c r="Z118" s="4">
        <v>1</v>
      </c>
      <c r="AA118" s="4" t="s">
        <v>5</v>
      </c>
      <c r="AB118" s="4">
        <v>1</v>
      </c>
      <c r="AC118" s="4" t="s">
        <v>7</v>
      </c>
      <c r="AD118" s="5">
        <v>1</v>
      </c>
      <c r="AE118" s="7"/>
      <c r="AF118" s="6" t="s">
        <v>17</v>
      </c>
      <c r="AG118" s="4" t="s">
        <v>17</v>
      </c>
      <c r="AH118" s="4" t="s">
        <v>17</v>
      </c>
      <c r="AI118" s="4" t="s">
        <v>17</v>
      </c>
      <c r="AJ118" s="4" t="s">
        <v>17</v>
      </c>
      <c r="AK118" s="4" t="s">
        <v>17</v>
      </c>
      <c r="AL118" s="4" t="s">
        <v>17</v>
      </c>
      <c r="AM118" s="5" t="s">
        <v>17</v>
      </c>
      <c r="AN118" s="7"/>
      <c r="AO118" s="6" t="s">
        <v>15</v>
      </c>
      <c r="AP118" s="4" t="s">
        <v>15</v>
      </c>
      <c r="AQ118" s="4" t="s">
        <v>13</v>
      </c>
      <c r="AR118" s="5" t="s">
        <v>15</v>
      </c>
      <c r="AT118" s="4" t="s">
        <v>17</v>
      </c>
      <c r="AU118" s="4" t="str">
        <f t="shared" si="17"/>
        <v>N</v>
      </c>
      <c r="AV118" s="4" t="s">
        <v>17</v>
      </c>
      <c r="AW118" s="4" t="str">
        <f t="shared" si="18"/>
        <v>N</v>
      </c>
      <c r="AX118" s="4" t="s">
        <v>17</v>
      </c>
      <c r="AY118" s="4" t="str">
        <f t="shared" si="19"/>
        <v>N</v>
      </c>
      <c r="AZ118" s="4" t="s">
        <v>17</v>
      </c>
      <c r="BA118" s="4" t="str">
        <f t="shared" si="20"/>
        <v>N</v>
      </c>
      <c r="BB118" s="4" t="s">
        <v>17</v>
      </c>
      <c r="BC118" s="4" t="str">
        <f t="shared" si="21"/>
        <v>N</v>
      </c>
      <c r="BD118" s="4" t="s">
        <v>7</v>
      </c>
      <c r="BE118" s="4" t="str">
        <f t="shared" si="22"/>
        <v>Sim</v>
      </c>
      <c r="BF118" s="4" t="s">
        <v>3</v>
      </c>
      <c r="BG118" s="4" t="str">
        <f t="shared" si="23"/>
        <v>Não</v>
      </c>
      <c r="BH118" s="4" t="s">
        <v>17</v>
      </c>
      <c r="BI118" s="4" t="str">
        <f t="shared" si="24"/>
        <v>N</v>
      </c>
      <c r="BJ118" s="4" t="s">
        <v>3</v>
      </c>
      <c r="BK118" s="4" t="str">
        <f t="shared" si="25"/>
        <v>Não</v>
      </c>
      <c r="BL118" s="4" t="s">
        <v>5</v>
      </c>
      <c r="BM118" s="4" t="str">
        <f t="shared" si="26"/>
        <v>Sim</v>
      </c>
      <c r="BN118" s="4" t="s">
        <v>17</v>
      </c>
      <c r="BO118" s="4" t="str">
        <f t="shared" si="27"/>
        <v>N</v>
      </c>
      <c r="BP118" s="4" t="s">
        <v>17</v>
      </c>
      <c r="BQ118" s="4" t="str">
        <f t="shared" si="28"/>
        <v>N</v>
      </c>
      <c r="BR118" s="4" t="s">
        <v>17</v>
      </c>
      <c r="BS118" s="4" t="str">
        <f t="shared" si="29"/>
        <v>N</v>
      </c>
      <c r="BT118" s="4" t="s">
        <v>17</v>
      </c>
      <c r="BU118" s="4" t="str">
        <f t="shared" si="30"/>
        <v>N</v>
      </c>
      <c r="BV118" s="4" t="s">
        <v>17</v>
      </c>
      <c r="BW118" s="4" t="str">
        <f t="shared" si="31"/>
        <v>N</v>
      </c>
      <c r="BX118" s="4" t="s">
        <v>17</v>
      </c>
      <c r="BY118" s="4" t="str">
        <f t="shared" si="32"/>
        <v>N</v>
      </c>
      <c r="BZ118" s="4" t="s">
        <v>17</v>
      </c>
      <c r="CA118" s="4" t="str">
        <f t="shared" si="33"/>
        <v>N</v>
      </c>
    </row>
    <row r="119" spans="2:79" ht="17.25" customHeight="1">
      <c r="B119" s="52" t="s">
        <v>190</v>
      </c>
      <c r="C119" s="44" t="s">
        <v>156</v>
      </c>
      <c r="D119" s="53" t="s">
        <v>199</v>
      </c>
      <c r="E119" s="6" t="s">
        <v>17</v>
      </c>
      <c r="F119" s="4" t="s">
        <v>17</v>
      </c>
      <c r="G119" s="4" t="s">
        <v>17</v>
      </c>
      <c r="H119" s="4" t="s">
        <v>17</v>
      </c>
      <c r="I119" s="4" t="s">
        <v>17</v>
      </c>
      <c r="J119" s="4" t="s">
        <v>17</v>
      </c>
      <c r="K119" s="4" t="s">
        <v>17</v>
      </c>
      <c r="L119" s="5" t="s">
        <v>17</v>
      </c>
      <c r="M119" s="7"/>
      <c r="N119" s="6" t="s">
        <v>17</v>
      </c>
      <c r="O119" s="4" t="s">
        <v>17</v>
      </c>
      <c r="P119" s="4" t="s">
        <v>17</v>
      </c>
      <c r="Q119" s="4" t="s">
        <v>17</v>
      </c>
      <c r="R119" s="4" t="s">
        <v>17</v>
      </c>
      <c r="S119" s="4" t="s">
        <v>17</v>
      </c>
      <c r="T119" s="4" t="s">
        <v>17</v>
      </c>
      <c r="U119" s="5" t="s">
        <v>17</v>
      </c>
      <c r="V119" s="7"/>
      <c r="W119" s="6" t="s">
        <v>3</v>
      </c>
      <c r="X119" s="4">
        <v>1</v>
      </c>
      <c r="Y119" s="4" t="s">
        <v>5</v>
      </c>
      <c r="Z119" s="4">
        <v>1</v>
      </c>
      <c r="AA119" s="4" t="s">
        <v>5</v>
      </c>
      <c r="AB119" s="4">
        <v>1</v>
      </c>
      <c r="AC119" s="4" t="s">
        <v>7</v>
      </c>
      <c r="AD119" s="5">
        <v>1</v>
      </c>
      <c r="AE119" s="7"/>
      <c r="AF119" s="6" t="s">
        <v>17</v>
      </c>
      <c r="AG119" s="4" t="s">
        <v>17</v>
      </c>
      <c r="AH119" s="4" t="s">
        <v>17</v>
      </c>
      <c r="AI119" s="4" t="s">
        <v>17</v>
      </c>
      <c r="AJ119" s="4" t="s">
        <v>17</v>
      </c>
      <c r="AK119" s="4" t="s">
        <v>17</v>
      </c>
      <c r="AL119" s="4" t="s">
        <v>17</v>
      </c>
      <c r="AM119" s="5" t="s">
        <v>17</v>
      </c>
      <c r="AN119" s="7"/>
      <c r="AO119" s="6" t="s">
        <v>15</v>
      </c>
      <c r="AP119" s="4" t="s">
        <v>15</v>
      </c>
      <c r="AQ119" s="4" t="s">
        <v>13</v>
      </c>
      <c r="AR119" s="5" t="s">
        <v>15</v>
      </c>
      <c r="AT119" s="4" t="s">
        <v>17</v>
      </c>
      <c r="AU119" s="4" t="str">
        <f t="shared" si="17"/>
        <v>N</v>
      </c>
      <c r="AV119" s="4" t="s">
        <v>17</v>
      </c>
      <c r="AW119" s="4" t="str">
        <f t="shared" si="18"/>
        <v>N</v>
      </c>
      <c r="AX119" s="4" t="s">
        <v>17</v>
      </c>
      <c r="AY119" s="4" t="str">
        <f t="shared" si="19"/>
        <v>N</v>
      </c>
      <c r="AZ119" s="4" t="s">
        <v>17</v>
      </c>
      <c r="BA119" s="4" t="str">
        <f t="shared" si="20"/>
        <v>N</v>
      </c>
      <c r="BB119" s="4" t="s">
        <v>17</v>
      </c>
      <c r="BC119" s="4" t="str">
        <f t="shared" si="21"/>
        <v>N</v>
      </c>
      <c r="BD119" s="4" t="s">
        <v>5</v>
      </c>
      <c r="BE119" s="4" t="str">
        <f t="shared" si="22"/>
        <v>Não</v>
      </c>
      <c r="BF119" s="4" t="s">
        <v>5</v>
      </c>
      <c r="BG119" s="4" t="str">
        <f t="shared" si="23"/>
        <v>Sim</v>
      </c>
      <c r="BH119" s="4" t="s">
        <v>17</v>
      </c>
      <c r="BI119" s="4" t="str">
        <f t="shared" si="24"/>
        <v>N</v>
      </c>
      <c r="BJ119" s="4" t="s">
        <v>5</v>
      </c>
      <c r="BK119" s="4" t="str">
        <f t="shared" si="25"/>
        <v>Sim</v>
      </c>
      <c r="BL119" s="4" t="s">
        <v>3</v>
      </c>
      <c r="BM119" s="4" t="str">
        <f t="shared" si="26"/>
        <v>Não</v>
      </c>
      <c r="BN119" s="4" t="s">
        <v>17</v>
      </c>
      <c r="BO119" s="4" t="str">
        <f t="shared" si="27"/>
        <v>N</v>
      </c>
      <c r="BP119" s="4" t="s">
        <v>17</v>
      </c>
      <c r="BQ119" s="4" t="str">
        <f t="shared" si="28"/>
        <v>N</v>
      </c>
      <c r="BR119" s="4" t="s">
        <v>17</v>
      </c>
      <c r="BS119" s="4" t="str">
        <f t="shared" si="29"/>
        <v>N</v>
      </c>
      <c r="BT119" s="4" t="s">
        <v>17</v>
      </c>
      <c r="BU119" s="4" t="str">
        <f t="shared" si="30"/>
        <v>N</v>
      </c>
      <c r="BV119" s="4" t="s">
        <v>17</v>
      </c>
      <c r="BW119" s="4" t="str">
        <f t="shared" si="31"/>
        <v>N</v>
      </c>
      <c r="BX119" s="4" t="s">
        <v>17</v>
      </c>
      <c r="BY119" s="4" t="str">
        <f t="shared" si="32"/>
        <v>N</v>
      </c>
      <c r="BZ119" s="4" t="s">
        <v>17</v>
      </c>
      <c r="CA119" s="4" t="str">
        <f t="shared" si="33"/>
        <v>N</v>
      </c>
    </row>
    <row r="120" spans="2:79" ht="17.25" customHeight="1">
      <c r="B120" s="51" t="s">
        <v>190</v>
      </c>
      <c r="C120" s="13" t="s">
        <v>117</v>
      </c>
      <c r="D120" s="54" t="s">
        <v>200</v>
      </c>
      <c r="E120" s="6" t="s">
        <v>17</v>
      </c>
      <c r="F120" s="4" t="s">
        <v>17</v>
      </c>
      <c r="G120" s="4" t="s">
        <v>17</v>
      </c>
      <c r="H120" s="4" t="s">
        <v>17</v>
      </c>
      <c r="I120" s="4" t="s">
        <v>17</v>
      </c>
      <c r="J120" s="4" t="s">
        <v>17</v>
      </c>
      <c r="K120" s="4" t="s">
        <v>17</v>
      </c>
      <c r="L120" s="5" t="s">
        <v>17</v>
      </c>
      <c r="M120" s="7"/>
      <c r="N120" s="6" t="s">
        <v>17</v>
      </c>
      <c r="O120" s="4" t="s">
        <v>17</v>
      </c>
      <c r="P120" s="4" t="s">
        <v>17</v>
      </c>
      <c r="Q120" s="4" t="s">
        <v>17</v>
      </c>
      <c r="R120" s="4" t="s">
        <v>17</v>
      </c>
      <c r="S120" s="4" t="s">
        <v>17</v>
      </c>
      <c r="T120" s="4" t="s">
        <v>17</v>
      </c>
      <c r="U120" s="5" t="s">
        <v>17</v>
      </c>
      <c r="V120" s="7"/>
      <c r="W120" s="6" t="s">
        <v>3</v>
      </c>
      <c r="X120" s="4">
        <v>1</v>
      </c>
      <c r="Y120" s="4" t="s">
        <v>5</v>
      </c>
      <c r="Z120" s="4">
        <v>1</v>
      </c>
      <c r="AA120" s="4" t="s">
        <v>7</v>
      </c>
      <c r="AB120" s="4">
        <v>1</v>
      </c>
      <c r="AC120" s="4" t="s">
        <v>7</v>
      </c>
      <c r="AD120" s="5">
        <v>1</v>
      </c>
      <c r="AE120" s="7"/>
      <c r="AF120" s="6" t="s">
        <v>17</v>
      </c>
      <c r="AG120" s="4" t="s">
        <v>17</v>
      </c>
      <c r="AH120" s="4" t="s">
        <v>17</v>
      </c>
      <c r="AI120" s="4" t="s">
        <v>17</v>
      </c>
      <c r="AJ120" s="4" t="s">
        <v>17</v>
      </c>
      <c r="AK120" s="4" t="s">
        <v>17</v>
      </c>
      <c r="AL120" s="4" t="s">
        <v>17</v>
      </c>
      <c r="AM120" s="5" t="s">
        <v>17</v>
      </c>
      <c r="AN120" s="7"/>
      <c r="AO120" s="6" t="s">
        <v>15</v>
      </c>
      <c r="AP120" s="4" t="s">
        <v>15</v>
      </c>
      <c r="AQ120" s="4" t="s">
        <v>13</v>
      </c>
      <c r="AR120" s="5" t="s">
        <v>15</v>
      </c>
      <c r="AT120" s="4" t="s">
        <v>17</v>
      </c>
      <c r="AU120" s="4" t="str">
        <f t="shared" si="17"/>
        <v>N</v>
      </c>
      <c r="AV120" s="4" t="s">
        <v>17</v>
      </c>
      <c r="AW120" s="4" t="str">
        <f t="shared" si="18"/>
        <v>N</v>
      </c>
      <c r="AX120" s="4" t="s">
        <v>17</v>
      </c>
      <c r="AY120" s="4" t="str">
        <f t="shared" si="19"/>
        <v>N</v>
      </c>
      <c r="AZ120" s="4" t="s">
        <v>17</v>
      </c>
      <c r="BA120" s="4" t="str">
        <f t="shared" si="20"/>
        <v>N</v>
      </c>
      <c r="BB120" s="4" t="s">
        <v>17</v>
      </c>
      <c r="BC120" s="4" t="str">
        <f t="shared" si="21"/>
        <v>N</v>
      </c>
      <c r="BD120" s="4" t="s">
        <v>7</v>
      </c>
      <c r="BE120" s="4" t="str">
        <f t="shared" si="22"/>
        <v>Sim</v>
      </c>
      <c r="BF120" s="4" t="s">
        <v>3</v>
      </c>
      <c r="BG120" s="4" t="str">
        <f t="shared" si="23"/>
        <v>Não</v>
      </c>
      <c r="BH120" s="4" t="s">
        <v>17</v>
      </c>
      <c r="BI120" s="4" t="str">
        <f t="shared" si="24"/>
        <v>N</v>
      </c>
      <c r="BJ120" s="4" t="s">
        <v>3</v>
      </c>
      <c r="BK120" s="4" t="str">
        <f t="shared" si="25"/>
        <v>Não</v>
      </c>
      <c r="BL120" s="4" t="s">
        <v>3</v>
      </c>
      <c r="BM120" s="4" t="str">
        <f t="shared" si="26"/>
        <v>Não</v>
      </c>
      <c r="BN120" s="4" t="s">
        <v>17</v>
      </c>
      <c r="BO120" s="4" t="str">
        <f t="shared" si="27"/>
        <v>N</v>
      </c>
      <c r="BP120" s="4" t="s">
        <v>17</v>
      </c>
      <c r="BQ120" s="4" t="str">
        <f t="shared" si="28"/>
        <v>N</v>
      </c>
      <c r="BR120" s="4" t="s">
        <v>17</v>
      </c>
      <c r="BS120" s="4" t="str">
        <f t="shared" si="29"/>
        <v>N</v>
      </c>
      <c r="BT120" s="4" t="s">
        <v>17</v>
      </c>
      <c r="BU120" s="4" t="str">
        <f t="shared" si="30"/>
        <v>N</v>
      </c>
      <c r="BV120" s="4" t="s">
        <v>17</v>
      </c>
      <c r="BW120" s="4" t="str">
        <f t="shared" si="31"/>
        <v>N</v>
      </c>
      <c r="BX120" s="4" t="s">
        <v>17</v>
      </c>
      <c r="BY120" s="4" t="str">
        <f t="shared" si="32"/>
        <v>N</v>
      </c>
      <c r="BZ120" s="4" t="s">
        <v>17</v>
      </c>
      <c r="CA120" s="4" t="str">
        <f t="shared" si="33"/>
        <v>N</v>
      </c>
    </row>
    <row r="121" spans="2:79" ht="17.25" customHeight="1">
      <c r="B121" s="52" t="s">
        <v>190</v>
      </c>
      <c r="C121" s="44" t="s">
        <v>87</v>
      </c>
      <c r="D121" s="53" t="s">
        <v>201</v>
      </c>
      <c r="E121" s="6" t="s">
        <v>17</v>
      </c>
      <c r="F121" s="4" t="s">
        <v>17</v>
      </c>
      <c r="G121" s="4" t="s">
        <v>3</v>
      </c>
      <c r="H121" s="4">
        <v>1</v>
      </c>
      <c r="I121" s="4" t="s">
        <v>5</v>
      </c>
      <c r="J121" s="4">
        <v>1</v>
      </c>
      <c r="K121" s="4" t="s">
        <v>7</v>
      </c>
      <c r="L121" s="5">
        <v>1</v>
      </c>
      <c r="M121" s="7"/>
      <c r="N121" s="6" t="s">
        <v>17</v>
      </c>
      <c r="O121" s="4" t="s">
        <v>17</v>
      </c>
      <c r="P121" s="4" t="s">
        <v>3</v>
      </c>
      <c r="Q121" s="4">
        <v>1</v>
      </c>
      <c r="R121" s="4" t="s">
        <v>3</v>
      </c>
      <c r="S121" s="4">
        <v>1</v>
      </c>
      <c r="T121" s="4" t="s">
        <v>5</v>
      </c>
      <c r="U121" s="5">
        <v>1</v>
      </c>
      <c r="V121" s="7"/>
      <c r="W121" s="6" t="s">
        <v>17</v>
      </c>
      <c r="X121" s="4" t="s">
        <v>17</v>
      </c>
      <c r="Y121" s="4" t="s">
        <v>17</v>
      </c>
      <c r="Z121" s="4" t="s">
        <v>17</v>
      </c>
      <c r="AA121" s="4" t="s">
        <v>17</v>
      </c>
      <c r="AB121" s="4" t="s">
        <v>17</v>
      </c>
      <c r="AC121" s="4" t="s">
        <v>17</v>
      </c>
      <c r="AD121" s="5" t="s">
        <v>17</v>
      </c>
      <c r="AE121" s="7"/>
      <c r="AF121" s="6" t="s">
        <v>17</v>
      </c>
      <c r="AG121" s="4" t="s">
        <v>17</v>
      </c>
      <c r="AH121" s="4" t="s">
        <v>3</v>
      </c>
      <c r="AI121" s="4">
        <v>1</v>
      </c>
      <c r="AJ121" s="4" t="s">
        <v>5</v>
      </c>
      <c r="AK121" s="4">
        <v>1</v>
      </c>
      <c r="AL121" s="4" t="s">
        <v>7</v>
      </c>
      <c r="AM121" s="5">
        <v>1</v>
      </c>
      <c r="AN121" s="7"/>
      <c r="AO121" s="6" t="s">
        <v>13</v>
      </c>
      <c r="AP121" s="4" t="s">
        <v>13</v>
      </c>
      <c r="AQ121" s="4" t="s">
        <v>15</v>
      </c>
      <c r="AR121" s="5" t="s">
        <v>13</v>
      </c>
      <c r="AT121" s="4" t="s">
        <v>3</v>
      </c>
      <c r="AU121" s="4" t="str">
        <f t="shared" si="17"/>
        <v>Sim</v>
      </c>
      <c r="AV121" s="4" t="s">
        <v>7</v>
      </c>
      <c r="AW121" s="4" t="str">
        <f t="shared" si="18"/>
        <v>Sim</v>
      </c>
      <c r="AX121" s="4" t="s">
        <v>1</v>
      </c>
      <c r="AY121" s="4" t="str">
        <f t="shared" si="19"/>
        <v>Não</v>
      </c>
      <c r="AZ121" s="4" t="s">
        <v>5</v>
      </c>
      <c r="BA121" s="4" t="str">
        <f t="shared" si="20"/>
        <v>Sim</v>
      </c>
      <c r="BB121" s="4" t="s">
        <v>5</v>
      </c>
      <c r="BC121" s="4" t="str">
        <f t="shared" si="21"/>
        <v>Sim</v>
      </c>
      <c r="BD121" s="4" t="s">
        <v>17</v>
      </c>
      <c r="BE121" s="4" t="str">
        <f t="shared" si="22"/>
        <v>N</v>
      </c>
      <c r="BF121" s="4" t="s">
        <v>17</v>
      </c>
      <c r="BG121" s="4" t="str">
        <f t="shared" si="23"/>
        <v>N</v>
      </c>
      <c r="BH121" s="4" t="s">
        <v>5</v>
      </c>
      <c r="BI121" s="4" t="str">
        <f t="shared" si="24"/>
        <v>Não</v>
      </c>
      <c r="BJ121" s="4" t="s">
        <v>17</v>
      </c>
      <c r="BK121" s="4" t="str">
        <f t="shared" si="25"/>
        <v>N</v>
      </c>
      <c r="BL121" s="4" t="s">
        <v>17</v>
      </c>
      <c r="BM121" s="4" t="str">
        <f t="shared" si="26"/>
        <v>N</v>
      </c>
      <c r="BN121" s="4" t="s">
        <v>3</v>
      </c>
      <c r="BO121" s="4" t="str">
        <f t="shared" si="27"/>
        <v>Não</v>
      </c>
      <c r="BP121" s="4" t="s">
        <v>3</v>
      </c>
      <c r="BQ121" s="4" t="str">
        <f t="shared" si="28"/>
        <v>Não</v>
      </c>
      <c r="BR121" s="4" t="s">
        <v>5</v>
      </c>
      <c r="BS121" s="4" t="str">
        <f t="shared" si="29"/>
        <v>Sim</v>
      </c>
      <c r="BT121" s="4" t="s">
        <v>3</v>
      </c>
      <c r="BU121" s="4" t="str">
        <f t="shared" si="30"/>
        <v>Sim</v>
      </c>
      <c r="BV121" s="4" t="s">
        <v>5</v>
      </c>
      <c r="BW121" s="4" t="str">
        <f t="shared" si="31"/>
        <v>Sim</v>
      </c>
      <c r="BX121" s="4" t="s">
        <v>3</v>
      </c>
      <c r="BY121" s="4" t="str">
        <f t="shared" si="32"/>
        <v>Sim</v>
      </c>
      <c r="BZ121" s="4" t="s">
        <v>5</v>
      </c>
      <c r="CA121" s="4" t="str">
        <f t="shared" si="33"/>
        <v>Sim</v>
      </c>
    </row>
    <row r="122" spans="2:79" ht="17.25" customHeight="1">
      <c r="B122" s="51" t="s">
        <v>190</v>
      </c>
      <c r="C122" s="13" t="s">
        <v>156</v>
      </c>
      <c r="D122" s="54" t="s">
        <v>202</v>
      </c>
      <c r="E122" s="6" t="s">
        <v>17</v>
      </c>
      <c r="F122" s="4" t="s">
        <v>17</v>
      </c>
      <c r="G122" s="4" t="s">
        <v>3</v>
      </c>
      <c r="H122" s="4">
        <v>1</v>
      </c>
      <c r="I122" s="4" t="s">
        <v>5</v>
      </c>
      <c r="J122" s="4">
        <v>1</v>
      </c>
      <c r="K122" s="4" t="s">
        <v>7</v>
      </c>
      <c r="L122" s="5">
        <v>1</v>
      </c>
      <c r="M122" s="7"/>
      <c r="N122" s="6" t="s">
        <v>17</v>
      </c>
      <c r="O122" s="4" t="s">
        <v>17</v>
      </c>
      <c r="P122" s="4" t="s">
        <v>17</v>
      </c>
      <c r="Q122" s="4" t="s">
        <v>17</v>
      </c>
      <c r="R122" s="4" t="s">
        <v>17</v>
      </c>
      <c r="S122" s="4" t="s">
        <v>17</v>
      </c>
      <c r="T122" s="4" t="s">
        <v>17</v>
      </c>
      <c r="U122" s="5" t="s">
        <v>17</v>
      </c>
      <c r="V122" s="7"/>
      <c r="W122" s="6" t="s">
        <v>17</v>
      </c>
      <c r="X122" s="4" t="s">
        <v>17</v>
      </c>
      <c r="Y122" s="4" t="s">
        <v>3</v>
      </c>
      <c r="Z122" s="4">
        <v>1</v>
      </c>
      <c r="AA122" s="4" t="s">
        <v>5</v>
      </c>
      <c r="AB122" s="4">
        <v>1</v>
      </c>
      <c r="AC122" s="4" t="s">
        <v>7</v>
      </c>
      <c r="AD122" s="5">
        <v>1</v>
      </c>
      <c r="AE122" s="7"/>
      <c r="AF122" s="6" t="s">
        <v>17</v>
      </c>
      <c r="AG122" s="4" t="s">
        <v>17</v>
      </c>
      <c r="AH122" s="4" t="s">
        <v>17</v>
      </c>
      <c r="AI122" s="4" t="s">
        <v>17</v>
      </c>
      <c r="AJ122" s="4" t="s">
        <v>17</v>
      </c>
      <c r="AK122" s="4" t="s">
        <v>17</v>
      </c>
      <c r="AL122" s="4" t="s">
        <v>17</v>
      </c>
      <c r="AM122" s="5" t="s">
        <v>17</v>
      </c>
      <c r="AN122" s="7"/>
      <c r="AO122" s="6" t="s">
        <v>13</v>
      </c>
      <c r="AP122" s="4" t="s">
        <v>15</v>
      </c>
      <c r="AQ122" s="4" t="s">
        <v>13</v>
      </c>
      <c r="AR122" s="5" t="s">
        <v>15</v>
      </c>
      <c r="AT122" s="4" t="s">
        <v>17</v>
      </c>
      <c r="AU122" s="4" t="str">
        <f t="shared" si="17"/>
        <v>N</v>
      </c>
      <c r="AV122" s="4" t="s">
        <v>3</v>
      </c>
      <c r="AW122" s="4" t="str">
        <f t="shared" si="18"/>
        <v>Não</v>
      </c>
      <c r="AX122" s="4" t="s">
        <v>17</v>
      </c>
      <c r="AY122" s="4" t="str">
        <f t="shared" si="19"/>
        <v>N</v>
      </c>
      <c r="AZ122" s="4" t="s">
        <v>1</v>
      </c>
      <c r="BA122" s="4" t="str">
        <f t="shared" si="20"/>
        <v>Não</v>
      </c>
      <c r="BB122" s="4" t="s">
        <v>17</v>
      </c>
      <c r="BC122" s="4" t="str">
        <f t="shared" si="21"/>
        <v>N</v>
      </c>
      <c r="BD122" s="4" t="s">
        <v>5</v>
      </c>
      <c r="BE122" s="4" t="str">
        <f t="shared" si="22"/>
        <v>Não</v>
      </c>
      <c r="BF122" s="4" t="s">
        <v>3</v>
      </c>
      <c r="BG122" s="4" t="str">
        <f t="shared" si="23"/>
        <v>Sim</v>
      </c>
      <c r="BH122" s="4" t="s">
        <v>5</v>
      </c>
      <c r="BI122" s="4" t="str">
        <f t="shared" si="24"/>
        <v>Não</v>
      </c>
      <c r="BJ122" s="4" t="s">
        <v>3</v>
      </c>
      <c r="BK122" s="4" t="str">
        <f t="shared" si="25"/>
        <v>Sim</v>
      </c>
      <c r="BL122" s="4" t="s">
        <v>3</v>
      </c>
      <c r="BM122" s="4" t="str">
        <f t="shared" si="26"/>
        <v>Sim</v>
      </c>
      <c r="BN122" s="4" t="s">
        <v>17</v>
      </c>
      <c r="BO122" s="4" t="str">
        <f t="shared" si="27"/>
        <v>N</v>
      </c>
      <c r="BP122" s="4" t="s">
        <v>17</v>
      </c>
      <c r="BQ122" s="4" t="str">
        <f t="shared" si="28"/>
        <v>N</v>
      </c>
      <c r="BR122" s="4" t="s">
        <v>3</v>
      </c>
      <c r="BS122" s="4" t="str">
        <f t="shared" si="29"/>
        <v>Não</v>
      </c>
      <c r="BT122" s="4" t="s">
        <v>3</v>
      </c>
      <c r="BU122" s="4" t="str">
        <f t="shared" si="30"/>
        <v>Sim</v>
      </c>
      <c r="BV122" s="4" t="s">
        <v>3</v>
      </c>
      <c r="BW122" s="4" t="str">
        <f t="shared" si="31"/>
        <v>Sim</v>
      </c>
      <c r="BX122" s="4" t="s">
        <v>17</v>
      </c>
      <c r="BY122" s="4" t="str">
        <f t="shared" si="32"/>
        <v>N</v>
      </c>
      <c r="BZ122" s="4" t="s">
        <v>3</v>
      </c>
      <c r="CA122" s="4" t="str">
        <f t="shared" si="33"/>
        <v>Sim</v>
      </c>
    </row>
    <row r="123" spans="2:79" ht="17.25" customHeight="1">
      <c r="B123" s="52" t="s">
        <v>190</v>
      </c>
      <c r="C123" s="44" t="s">
        <v>156</v>
      </c>
      <c r="D123" s="53" t="s">
        <v>203</v>
      </c>
      <c r="E123" s="6" t="s">
        <v>3</v>
      </c>
      <c r="F123" s="4">
        <v>1</v>
      </c>
      <c r="G123" s="4" t="s">
        <v>5</v>
      </c>
      <c r="H123" s="4">
        <v>1</v>
      </c>
      <c r="I123" s="4" t="s">
        <v>5</v>
      </c>
      <c r="J123" s="4">
        <v>1</v>
      </c>
      <c r="K123" s="4" t="s">
        <v>5</v>
      </c>
      <c r="L123" s="5">
        <v>1</v>
      </c>
      <c r="M123" s="7"/>
      <c r="N123" s="6" t="s">
        <v>17</v>
      </c>
      <c r="O123" s="4" t="s">
        <v>17</v>
      </c>
      <c r="P123" s="4" t="s">
        <v>17</v>
      </c>
      <c r="Q123" s="4" t="s">
        <v>17</v>
      </c>
      <c r="R123" s="4" t="s">
        <v>17</v>
      </c>
      <c r="S123" s="4" t="s">
        <v>17</v>
      </c>
      <c r="T123" s="4" t="s">
        <v>17</v>
      </c>
      <c r="U123" s="5" t="s">
        <v>17</v>
      </c>
      <c r="V123" s="7"/>
      <c r="W123" s="6" t="s">
        <v>17</v>
      </c>
      <c r="X123" s="4" t="s">
        <v>17</v>
      </c>
      <c r="Y123" s="4" t="s">
        <v>17</v>
      </c>
      <c r="Z123" s="4" t="s">
        <v>17</v>
      </c>
      <c r="AA123" s="4" t="s">
        <v>17</v>
      </c>
      <c r="AB123" s="4" t="s">
        <v>17</v>
      </c>
      <c r="AC123" s="4" t="s">
        <v>17</v>
      </c>
      <c r="AD123" s="5" t="s">
        <v>17</v>
      </c>
      <c r="AE123" s="7"/>
      <c r="AF123" s="6" t="s">
        <v>17</v>
      </c>
      <c r="AG123" s="4" t="s">
        <v>17</v>
      </c>
      <c r="AH123" s="4" t="s">
        <v>17</v>
      </c>
      <c r="AI123" s="4" t="s">
        <v>17</v>
      </c>
      <c r="AJ123" s="4" t="s">
        <v>17</v>
      </c>
      <c r="AK123" s="4" t="s">
        <v>17</v>
      </c>
      <c r="AL123" s="4" t="s">
        <v>17</v>
      </c>
      <c r="AM123" s="5" t="s">
        <v>17</v>
      </c>
      <c r="AN123" s="7"/>
      <c r="AO123" s="6" t="s">
        <v>13</v>
      </c>
      <c r="AP123" s="4" t="s">
        <v>15</v>
      </c>
      <c r="AQ123" s="4" t="s">
        <v>15</v>
      </c>
      <c r="AR123" s="5" t="s">
        <v>15</v>
      </c>
      <c r="AT123" s="4" t="s">
        <v>17</v>
      </c>
      <c r="AU123" s="4" t="str">
        <f t="shared" si="17"/>
        <v>N</v>
      </c>
      <c r="AV123" s="4" t="s">
        <v>5</v>
      </c>
      <c r="AW123" s="4" t="str">
        <f t="shared" si="18"/>
        <v>Sim</v>
      </c>
      <c r="AX123" s="4" t="s">
        <v>17</v>
      </c>
      <c r="AY123" s="4" t="str">
        <f t="shared" si="19"/>
        <v>N</v>
      </c>
      <c r="AZ123" s="4" t="s">
        <v>1</v>
      </c>
      <c r="BA123" s="4" t="str">
        <f t="shared" si="20"/>
        <v>Não</v>
      </c>
      <c r="BB123" s="4" t="s">
        <v>17</v>
      </c>
      <c r="BC123" s="4" t="str">
        <f t="shared" si="21"/>
        <v>N</v>
      </c>
      <c r="BD123" s="4" t="s">
        <v>17</v>
      </c>
      <c r="BE123" s="4" t="str">
        <f t="shared" si="22"/>
        <v>N</v>
      </c>
      <c r="BF123" s="4" t="s">
        <v>17</v>
      </c>
      <c r="BG123" s="4" t="str">
        <f t="shared" si="23"/>
        <v>N</v>
      </c>
      <c r="BH123" s="4" t="s">
        <v>7</v>
      </c>
      <c r="BI123" s="4" t="str">
        <f t="shared" si="24"/>
        <v>Sim</v>
      </c>
      <c r="BJ123" s="4" t="s">
        <v>17</v>
      </c>
      <c r="BK123" s="4" t="str">
        <f t="shared" si="25"/>
        <v>N</v>
      </c>
      <c r="BL123" s="4" t="s">
        <v>17</v>
      </c>
      <c r="BM123" s="4" t="str">
        <f t="shared" si="26"/>
        <v>N</v>
      </c>
      <c r="BN123" s="4" t="s">
        <v>17</v>
      </c>
      <c r="BO123" s="4" t="str">
        <f t="shared" si="27"/>
        <v>N</v>
      </c>
      <c r="BP123" s="4" t="s">
        <v>17</v>
      </c>
      <c r="BQ123" s="4" t="str">
        <f t="shared" si="28"/>
        <v>N</v>
      </c>
      <c r="BR123" s="4" t="s">
        <v>5</v>
      </c>
      <c r="BS123" s="4" t="str">
        <f t="shared" si="29"/>
        <v>Sim</v>
      </c>
      <c r="BT123" s="4" t="s">
        <v>3</v>
      </c>
      <c r="BU123" s="4" t="str">
        <f t="shared" si="30"/>
        <v>Não</v>
      </c>
      <c r="BV123" s="4" t="s">
        <v>3</v>
      </c>
      <c r="BW123" s="4" t="str">
        <f t="shared" si="31"/>
        <v>Não</v>
      </c>
      <c r="BX123" s="4" t="s">
        <v>17</v>
      </c>
      <c r="BY123" s="4" t="str">
        <f t="shared" si="32"/>
        <v>N</v>
      </c>
      <c r="BZ123" s="4" t="s">
        <v>5</v>
      </c>
      <c r="CA123" s="4" t="str">
        <f t="shared" si="33"/>
        <v>Sim</v>
      </c>
    </row>
    <row r="124" spans="2:79" ht="17.25" customHeight="1">
      <c r="B124" s="51" t="s">
        <v>190</v>
      </c>
      <c r="C124" s="13" t="s">
        <v>156</v>
      </c>
      <c r="D124" s="54" t="s">
        <v>204</v>
      </c>
      <c r="E124" s="6" t="s">
        <v>3</v>
      </c>
      <c r="F124" s="4">
        <v>1</v>
      </c>
      <c r="G124" s="4" t="s">
        <v>5</v>
      </c>
      <c r="H124" s="4">
        <v>1</v>
      </c>
      <c r="I124" s="4" t="s">
        <v>7</v>
      </c>
      <c r="J124" s="4">
        <v>1</v>
      </c>
      <c r="K124" s="4" t="s">
        <v>7</v>
      </c>
      <c r="L124" s="5">
        <v>1</v>
      </c>
      <c r="M124" s="7"/>
      <c r="N124" s="6" t="s">
        <v>17</v>
      </c>
      <c r="O124" s="4" t="s">
        <v>17</v>
      </c>
      <c r="P124" s="4" t="s">
        <v>17</v>
      </c>
      <c r="Q124" s="4" t="s">
        <v>17</v>
      </c>
      <c r="R124" s="4" t="s">
        <v>17</v>
      </c>
      <c r="S124" s="4" t="s">
        <v>17</v>
      </c>
      <c r="T124" s="4" t="s">
        <v>17</v>
      </c>
      <c r="U124" s="5" t="s">
        <v>17</v>
      </c>
      <c r="V124" s="7"/>
      <c r="W124" s="6" t="s">
        <v>17</v>
      </c>
      <c r="X124" s="4" t="s">
        <v>17</v>
      </c>
      <c r="Y124" s="4" t="s">
        <v>17</v>
      </c>
      <c r="Z124" s="4" t="s">
        <v>17</v>
      </c>
      <c r="AA124" s="4" t="s">
        <v>17</v>
      </c>
      <c r="AB124" s="4" t="s">
        <v>17</v>
      </c>
      <c r="AC124" s="4" t="s">
        <v>17</v>
      </c>
      <c r="AD124" s="5" t="s">
        <v>17</v>
      </c>
      <c r="AE124" s="7"/>
      <c r="AF124" s="6" t="s">
        <v>17</v>
      </c>
      <c r="AG124" s="4" t="s">
        <v>17</v>
      </c>
      <c r="AH124" s="4" t="s">
        <v>17</v>
      </c>
      <c r="AI124" s="4" t="s">
        <v>17</v>
      </c>
      <c r="AJ124" s="4" t="s">
        <v>17</v>
      </c>
      <c r="AK124" s="4" t="s">
        <v>17</v>
      </c>
      <c r="AL124" s="4" t="s">
        <v>17</v>
      </c>
      <c r="AM124" s="5" t="s">
        <v>17</v>
      </c>
      <c r="AN124" s="7"/>
      <c r="AO124" s="6" t="s">
        <v>13</v>
      </c>
      <c r="AP124" s="4" t="s">
        <v>15</v>
      </c>
      <c r="AQ124" s="4" t="s">
        <v>15</v>
      </c>
      <c r="AR124" s="5" t="s">
        <v>15</v>
      </c>
      <c r="AT124" s="4" t="s">
        <v>17</v>
      </c>
      <c r="AU124" s="4" t="str">
        <f t="shared" si="17"/>
        <v>N</v>
      </c>
      <c r="AV124" s="4" t="s">
        <v>3</v>
      </c>
      <c r="AW124" s="4" t="str">
        <f t="shared" si="18"/>
        <v>Não</v>
      </c>
      <c r="AX124" s="4" t="s">
        <v>17</v>
      </c>
      <c r="AY124" s="4" t="str">
        <f t="shared" si="19"/>
        <v>N</v>
      </c>
      <c r="AZ124" s="4" t="s">
        <v>3</v>
      </c>
      <c r="BA124" s="4" t="str">
        <f t="shared" si="20"/>
        <v>Não</v>
      </c>
      <c r="BB124" s="4" t="s">
        <v>17</v>
      </c>
      <c r="BC124" s="4" t="str">
        <f t="shared" si="21"/>
        <v>N</v>
      </c>
      <c r="BD124" s="4" t="s">
        <v>17</v>
      </c>
      <c r="BE124" s="4" t="str">
        <f t="shared" si="22"/>
        <v>N</v>
      </c>
      <c r="BF124" s="4" t="s">
        <v>17</v>
      </c>
      <c r="BG124" s="4" t="str">
        <f t="shared" si="23"/>
        <v>N</v>
      </c>
      <c r="BH124" s="4" t="s">
        <v>3</v>
      </c>
      <c r="BI124" s="4" t="str">
        <f t="shared" si="24"/>
        <v>Não</v>
      </c>
      <c r="BJ124" s="4" t="s">
        <v>17</v>
      </c>
      <c r="BK124" s="4" t="str">
        <f t="shared" si="25"/>
        <v>N</v>
      </c>
      <c r="BL124" s="4" t="s">
        <v>17</v>
      </c>
      <c r="BM124" s="4" t="str">
        <f t="shared" si="26"/>
        <v>N</v>
      </c>
      <c r="BN124" s="4" t="s">
        <v>17</v>
      </c>
      <c r="BO124" s="4" t="str">
        <f t="shared" si="27"/>
        <v>N</v>
      </c>
      <c r="BP124" s="4" t="s">
        <v>17</v>
      </c>
      <c r="BQ124" s="4" t="str">
        <f t="shared" si="28"/>
        <v>N</v>
      </c>
      <c r="BR124" s="4" t="s">
        <v>3</v>
      </c>
      <c r="BS124" s="4" t="str">
        <f t="shared" si="29"/>
        <v>Não</v>
      </c>
      <c r="BT124" s="4" t="s">
        <v>3</v>
      </c>
      <c r="BU124" s="4" t="str">
        <f t="shared" si="30"/>
        <v>Não</v>
      </c>
      <c r="BV124" s="4" t="s">
        <v>3</v>
      </c>
      <c r="BW124" s="4" t="str">
        <f t="shared" si="31"/>
        <v>Não</v>
      </c>
      <c r="BX124" s="4" t="s">
        <v>17</v>
      </c>
      <c r="BY124" s="4" t="str">
        <f t="shared" si="32"/>
        <v>N</v>
      </c>
      <c r="BZ124" s="4" t="s">
        <v>7</v>
      </c>
      <c r="CA124" s="4" t="str">
        <f t="shared" si="33"/>
        <v>Sim</v>
      </c>
    </row>
    <row r="125" spans="2:79" ht="17.25" customHeight="1">
      <c r="B125" s="52" t="s">
        <v>190</v>
      </c>
      <c r="C125" s="44" t="s">
        <v>156</v>
      </c>
      <c r="D125" s="53" t="s">
        <v>205</v>
      </c>
      <c r="E125" s="6" t="s">
        <v>3</v>
      </c>
      <c r="F125" s="4">
        <v>1</v>
      </c>
      <c r="G125" s="4" t="s">
        <v>5</v>
      </c>
      <c r="H125" s="4">
        <v>1</v>
      </c>
      <c r="I125" s="4" t="s">
        <v>5</v>
      </c>
      <c r="J125" s="4">
        <v>1</v>
      </c>
      <c r="K125" s="4" t="s">
        <v>7</v>
      </c>
      <c r="L125" s="5">
        <v>1</v>
      </c>
      <c r="M125" s="7"/>
      <c r="N125" s="6" t="s">
        <v>17</v>
      </c>
      <c r="O125" s="4" t="s">
        <v>17</v>
      </c>
      <c r="P125" s="4" t="s">
        <v>17</v>
      </c>
      <c r="Q125" s="4" t="s">
        <v>17</v>
      </c>
      <c r="R125" s="4" t="s">
        <v>17</v>
      </c>
      <c r="S125" s="4" t="s">
        <v>17</v>
      </c>
      <c r="T125" s="4" t="s">
        <v>17</v>
      </c>
      <c r="U125" s="5" t="s">
        <v>17</v>
      </c>
      <c r="V125" s="7"/>
      <c r="W125" s="6" t="s">
        <v>17</v>
      </c>
      <c r="X125" s="4" t="s">
        <v>17</v>
      </c>
      <c r="Y125" s="4" t="s">
        <v>17</v>
      </c>
      <c r="Z125" s="4" t="s">
        <v>17</v>
      </c>
      <c r="AA125" s="4" t="s">
        <v>17</v>
      </c>
      <c r="AB125" s="4" t="s">
        <v>17</v>
      </c>
      <c r="AC125" s="4" t="s">
        <v>17</v>
      </c>
      <c r="AD125" s="5" t="s">
        <v>17</v>
      </c>
      <c r="AE125" s="7"/>
      <c r="AF125" s="6" t="s">
        <v>17</v>
      </c>
      <c r="AG125" s="4" t="s">
        <v>17</v>
      </c>
      <c r="AH125" s="4" t="s">
        <v>17</v>
      </c>
      <c r="AI125" s="4" t="s">
        <v>17</v>
      </c>
      <c r="AJ125" s="4" t="s">
        <v>17</v>
      </c>
      <c r="AK125" s="4" t="s">
        <v>17</v>
      </c>
      <c r="AL125" s="4" t="s">
        <v>17</v>
      </c>
      <c r="AM125" s="5" t="s">
        <v>17</v>
      </c>
      <c r="AN125" s="7"/>
      <c r="AO125" s="6" t="s">
        <v>13</v>
      </c>
      <c r="AP125" s="4" t="s">
        <v>15</v>
      </c>
      <c r="AQ125" s="4" t="s">
        <v>15</v>
      </c>
      <c r="AR125" s="5" t="s">
        <v>15</v>
      </c>
      <c r="AT125" s="4" t="s">
        <v>17</v>
      </c>
      <c r="AU125" s="4" t="str">
        <f t="shared" si="17"/>
        <v>N</v>
      </c>
      <c r="AV125" s="4" t="s">
        <v>3</v>
      </c>
      <c r="AW125" s="4" t="str">
        <f t="shared" si="18"/>
        <v>Não</v>
      </c>
      <c r="AX125" s="4" t="s">
        <v>17</v>
      </c>
      <c r="AY125" s="4" t="str">
        <f t="shared" si="19"/>
        <v>N</v>
      </c>
      <c r="AZ125" s="4" t="s">
        <v>3</v>
      </c>
      <c r="BA125" s="4" t="str">
        <f t="shared" si="20"/>
        <v>Não</v>
      </c>
      <c r="BB125" s="4" t="s">
        <v>17</v>
      </c>
      <c r="BC125" s="4" t="str">
        <f t="shared" si="21"/>
        <v>N</v>
      </c>
      <c r="BD125" s="4" t="s">
        <v>17</v>
      </c>
      <c r="BE125" s="4" t="str">
        <f t="shared" si="22"/>
        <v>N</v>
      </c>
      <c r="BF125" s="4" t="s">
        <v>17</v>
      </c>
      <c r="BG125" s="4" t="str">
        <f t="shared" si="23"/>
        <v>N</v>
      </c>
      <c r="BH125" s="4" t="s">
        <v>3</v>
      </c>
      <c r="BI125" s="4" t="str">
        <f t="shared" si="24"/>
        <v>Não</v>
      </c>
      <c r="BJ125" s="4" t="s">
        <v>17</v>
      </c>
      <c r="BK125" s="4" t="str">
        <f t="shared" si="25"/>
        <v>N</v>
      </c>
      <c r="BL125" s="4" t="s">
        <v>17</v>
      </c>
      <c r="BM125" s="4" t="str">
        <f t="shared" si="26"/>
        <v>N</v>
      </c>
      <c r="BN125" s="4" t="s">
        <v>17</v>
      </c>
      <c r="BO125" s="4" t="str">
        <f t="shared" si="27"/>
        <v>N</v>
      </c>
      <c r="BP125" s="4" t="s">
        <v>17</v>
      </c>
      <c r="BQ125" s="4" t="str">
        <f t="shared" si="28"/>
        <v>N</v>
      </c>
      <c r="BR125" s="4" t="s">
        <v>5</v>
      </c>
      <c r="BS125" s="4" t="str">
        <f t="shared" si="29"/>
        <v>Sim</v>
      </c>
      <c r="BT125" s="4" t="s">
        <v>3</v>
      </c>
      <c r="BU125" s="4" t="str">
        <f t="shared" si="30"/>
        <v>Não</v>
      </c>
      <c r="BV125" s="4" t="s">
        <v>3</v>
      </c>
      <c r="BW125" s="4" t="str">
        <f t="shared" si="31"/>
        <v>Não</v>
      </c>
      <c r="BX125" s="4" t="s">
        <v>17</v>
      </c>
      <c r="BY125" s="4" t="str">
        <f t="shared" si="32"/>
        <v>N</v>
      </c>
      <c r="BZ125" s="4" t="s">
        <v>5</v>
      </c>
      <c r="CA125" s="4" t="str">
        <f t="shared" si="33"/>
        <v>Sim</v>
      </c>
    </row>
    <row r="126" spans="2:79" ht="17.25" customHeight="1">
      <c r="B126" s="51" t="s">
        <v>190</v>
      </c>
      <c r="C126" s="13" t="s">
        <v>156</v>
      </c>
      <c r="D126" s="54" t="s">
        <v>206</v>
      </c>
      <c r="E126" s="6" t="s">
        <v>3</v>
      </c>
      <c r="F126" s="4">
        <v>1</v>
      </c>
      <c r="G126" s="4" t="s">
        <v>3</v>
      </c>
      <c r="H126" s="4">
        <v>1</v>
      </c>
      <c r="I126" s="4" t="s">
        <v>3</v>
      </c>
      <c r="J126" s="4">
        <v>1</v>
      </c>
      <c r="K126" s="4" t="s">
        <v>3</v>
      </c>
      <c r="L126" s="5">
        <v>1</v>
      </c>
      <c r="M126" s="7"/>
      <c r="N126" s="6" t="s">
        <v>17</v>
      </c>
      <c r="O126" s="4" t="s">
        <v>17</v>
      </c>
      <c r="P126" s="4" t="s">
        <v>17</v>
      </c>
      <c r="Q126" s="4" t="s">
        <v>17</v>
      </c>
      <c r="R126" s="4" t="s">
        <v>17</v>
      </c>
      <c r="S126" s="4" t="s">
        <v>17</v>
      </c>
      <c r="T126" s="4" t="s">
        <v>17</v>
      </c>
      <c r="U126" s="5" t="s">
        <v>17</v>
      </c>
      <c r="V126" s="7"/>
      <c r="W126" s="6" t="s">
        <v>3</v>
      </c>
      <c r="X126" s="4">
        <v>1</v>
      </c>
      <c r="Y126" s="4" t="s">
        <v>3</v>
      </c>
      <c r="Z126" s="4">
        <v>1</v>
      </c>
      <c r="AA126" s="4" t="s">
        <v>3</v>
      </c>
      <c r="AB126" s="4">
        <v>1</v>
      </c>
      <c r="AC126" s="4" t="s">
        <v>3</v>
      </c>
      <c r="AD126" s="5">
        <v>1</v>
      </c>
      <c r="AE126" s="7"/>
      <c r="AF126" s="6" t="s">
        <v>17</v>
      </c>
      <c r="AG126" s="4" t="s">
        <v>17</v>
      </c>
      <c r="AH126" s="4" t="s">
        <v>17</v>
      </c>
      <c r="AI126" s="4" t="s">
        <v>17</v>
      </c>
      <c r="AJ126" s="4" t="s">
        <v>17</v>
      </c>
      <c r="AK126" s="4" t="s">
        <v>17</v>
      </c>
      <c r="AL126" s="4" t="s">
        <v>17</v>
      </c>
      <c r="AM126" s="5" t="s">
        <v>17</v>
      </c>
      <c r="AN126" s="7"/>
      <c r="AO126" s="6" t="s">
        <v>13</v>
      </c>
      <c r="AP126" s="4" t="s">
        <v>15</v>
      </c>
      <c r="AQ126" s="4" t="s">
        <v>13</v>
      </c>
      <c r="AR126" s="5" t="s">
        <v>15</v>
      </c>
      <c r="AT126" s="4" t="s">
        <v>17</v>
      </c>
      <c r="AU126" s="4" t="str">
        <f t="shared" si="17"/>
        <v>N</v>
      </c>
      <c r="AV126" s="4" t="s">
        <v>1</v>
      </c>
      <c r="AW126" s="4" t="str">
        <f t="shared" si="18"/>
        <v>Não</v>
      </c>
      <c r="AX126" s="4" t="s">
        <v>17</v>
      </c>
      <c r="AY126" s="4" t="str">
        <f t="shared" si="19"/>
        <v>N</v>
      </c>
      <c r="AZ126" s="4" t="s">
        <v>1</v>
      </c>
      <c r="BA126" s="4" t="str">
        <f t="shared" si="20"/>
        <v>Não</v>
      </c>
      <c r="BB126" s="4" t="s">
        <v>17</v>
      </c>
      <c r="BC126" s="4" t="str">
        <f t="shared" si="21"/>
        <v>N</v>
      </c>
      <c r="BD126" s="4" t="s">
        <v>7</v>
      </c>
      <c r="BE126" s="4" t="str">
        <f t="shared" si="22"/>
        <v>Sim</v>
      </c>
      <c r="BF126" s="4" t="s">
        <v>5</v>
      </c>
      <c r="BG126" s="4" t="str">
        <f t="shared" si="23"/>
        <v>Sim</v>
      </c>
      <c r="BH126" s="4" t="s">
        <v>3</v>
      </c>
      <c r="BI126" s="4" t="str">
        <f t="shared" si="24"/>
        <v>Sim</v>
      </c>
      <c r="BJ126" s="4" t="s">
        <v>3</v>
      </c>
      <c r="BK126" s="4" t="str">
        <f t="shared" si="25"/>
        <v>Sim</v>
      </c>
      <c r="BL126" s="4" t="s">
        <v>3</v>
      </c>
      <c r="BM126" s="4" t="str">
        <f t="shared" si="26"/>
        <v>Sim</v>
      </c>
      <c r="BN126" s="4" t="s">
        <v>17</v>
      </c>
      <c r="BO126" s="4" t="str">
        <f t="shared" si="27"/>
        <v>N</v>
      </c>
      <c r="BP126" s="4" t="s">
        <v>17</v>
      </c>
      <c r="BQ126" s="4" t="str">
        <f t="shared" si="28"/>
        <v>N</v>
      </c>
      <c r="BR126" s="4" t="s">
        <v>1</v>
      </c>
      <c r="BS126" s="4" t="str">
        <f t="shared" si="29"/>
        <v>Não</v>
      </c>
      <c r="BT126" s="4" t="s">
        <v>1</v>
      </c>
      <c r="BU126" s="4" t="str">
        <f t="shared" si="30"/>
        <v>Não</v>
      </c>
      <c r="BV126" s="4" t="s">
        <v>1</v>
      </c>
      <c r="BW126" s="4" t="str">
        <f t="shared" si="31"/>
        <v>Não</v>
      </c>
      <c r="BX126" s="4" t="s">
        <v>17</v>
      </c>
      <c r="BY126" s="4" t="str">
        <f t="shared" si="32"/>
        <v>N</v>
      </c>
      <c r="BZ126" s="4" t="s">
        <v>3</v>
      </c>
      <c r="CA126" s="4" t="str">
        <f t="shared" si="33"/>
        <v>Sim</v>
      </c>
    </row>
    <row r="127" spans="2:79" ht="17.25" customHeight="1">
      <c r="B127" s="52" t="s">
        <v>190</v>
      </c>
      <c r="C127" s="44" t="s">
        <v>156</v>
      </c>
      <c r="D127" s="53" t="s">
        <v>207</v>
      </c>
      <c r="E127" s="6" t="s">
        <v>17</v>
      </c>
      <c r="F127" s="4" t="s">
        <v>17</v>
      </c>
      <c r="G127" s="4" t="s">
        <v>3</v>
      </c>
      <c r="H127" s="4">
        <v>1</v>
      </c>
      <c r="I127" s="4" t="s">
        <v>5</v>
      </c>
      <c r="J127" s="4">
        <v>1</v>
      </c>
      <c r="K127" s="4" t="s">
        <v>5</v>
      </c>
      <c r="L127" s="5">
        <v>1</v>
      </c>
      <c r="M127" s="7"/>
      <c r="N127" s="6" t="s">
        <v>17</v>
      </c>
      <c r="O127" s="4" t="s">
        <v>17</v>
      </c>
      <c r="P127" s="4" t="s">
        <v>17</v>
      </c>
      <c r="Q127" s="4" t="s">
        <v>17</v>
      </c>
      <c r="R127" s="4" t="s">
        <v>17</v>
      </c>
      <c r="S127" s="4" t="s">
        <v>17</v>
      </c>
      <c r="T127" s="4" t="s">
        <v>17</v>
      </c>
      <c r="U127" s="5" t="s">
        <v>17</v>
      </c>
      <c r="V127" s="7"/>
      <c r="W127" s="6" t="s">
        <v>17</v>
      </c>
      <c r="X127" s="4" t="s">
        <v>17</v>
      </c>
      <c r="Y127" s="4" t="s">
        <v>17</v>
      </c>
      <c r="Z127" s="4" t="s">
        <v>17</v>
      </c>
      <c r="AA127" s="4" t="s">
        <v>17</v>
      </c>
      <c r="AB127" s="4" t="s">
        <v>17</v>
      </c>
      <c r="AC127" s="4" t="s">
        <v>17</v>
      </c>
      <c r="AD127" s="5" t="s">
        <v>17</v>
      </c>
      <c r="AE127" s="7"/>
      <c r="AF127" s="6" t="s">
        <v>17</v>
      </c>
      <c r="AG127" s="4" t="s">
        <v>17</v>
      </c>
      <c r="AH127" s="4" t="s">
        <v>17</v>
      </c>
      <c r="AI127" s="4" t="s">
        <v>17</v>
      </c>
      <c r="AJ127" s="4" t="s">
        <v>17</v>
      </c>
      <c r="AK127" s="4" t="s">
        <v>17</v>
      </c>
      <c r="AL127" s="4" t="s">
        <v>17</v>
      </c>
      <c r="AM127" s="5" t="s">
        <v>17</v>
      </c>
      <c r="AN127" s="7"/>
      <c r="AO127" s="6" t="s">
        <v>13</v>
      </c>
      <c r="AP127" s="4" t="s">
        <v>15</v>
      </c>
      <c r="AQ127" s="4" t="s">
        <v>15</v>
      </c>
      <c r="AR127" s="5" t="s">
        <v>15</v>
      </c>
      <c r="AT127" s="4" t="s">
        <v>17</v>
      </c>
      <c r="AU127" s="4" t="str">
        <f t="shared" si="17"/>
        <v>N</v>
      </c>
      <c r="AV127" s="4" t="s">
        <v>3</v>
      </c>
      <c r="AW127" s="4" t="str">
        <f t="shared" si="18"/>
        <v>Não</v>
      </c>
      <c r="AX127" s="4" t="s">
        <v>17</v>
      </c>
      <c r="AY127" s="4" t="str">
        <f t="shared" si="19"/>
        <v>N</v>
      </c>
      <c r="AZ127" s="4" t="s">
        <v>5</v>
      </c>
      <c r="BA127" s="4" t="str">
        <f t="shared" si="20"/>
        <v>Sim</v>
      </c>
      <c r="BB127" s="4" t="s">
        <v>17</v>
      </c>
      <c r="BC127" s="4" t="str">
        <f t="shared" si="21"/>
        <v>N</v>
      </c>
      <c r="BD127" s="4" t="s">
        <v>17</v>
      </c>
      <c r="BE127" s="4" t="str">
        <f t="shared" si="22"/>
        <v>N</v>
      </c>
      <c r="BF127" s="4" t="s">
        <v>17</v>
      </c>
      <c r="BG127" s="4" t="str">
        <f t="shared" si="23"/>
        <v>N</v>
      </c>
      <c r="BH127" s="4" t="s">
        <v>3</v>
      </c>
      <c r="BI127" s="4" t="str">
        <f t="shared" si="24"/>
        <v>Não</v>
      </c>
      <c r="BJ127" s="4" t="s">
        <v>17</v>
      </c>
      <c r="BK127" s="4" t="str">
        <f t="shared" si="25"/>
        <v>N</v>
      </c>
      <c r="BL127" s="4" t="s">
        <v>17</v>
      </c>
      <c r="BM127" s="4" t="str">
        <f t="shared" si="26"/>
        <v>N</v>
      </c>
      <c r="BN127" s="4" t="s">
        <v>17</v>
      </c>
      <c r="BO127" s="4" t="str">
        <f t="shared" si="27"/>
        <v>N</v>
      </c>
      <c r="BP127" s="4" t="s">
        <v>17</v>
      </c>
      <c r="BQ127" s="4" t="str">
        <f t="shared" si="28"/>
        <v>N</v>
      </c>
      <c r="BR127" s="4" t="s">
        <v>5</v>
      </c>
      <c r="BS127" s="4" t="str">
        <f t="shared" si="29"/>
        <v>Sim</v>
      </c>
      <c r="BT127" s="4" t="s">
        <v>3</v>
      </c>
      <c r="BU127" s="4" t="str">
        <f t="shared" si="30"/>
        <v>Sim</v>
      </c>
      <c r="BV127" s="4" t="s">
        <v>3</v>
      </c>
      <c r="BW127" s="4" t="str">
        <f t="shared" si="31"/>
        <v>Sim</v>
      </c>
      <c r="BX127" s="4" t="s">
        <v>17</v>
      </c>
      <c r="BY127" s="4" t="str">
        <f t="shared" si="32"/>
        <v>N</v>
      </c>
      <c r="BZ127" s="4" t="s">
        <v>3</v>
      </c>
      <c r="CA127" s="4" t="str">
        <f t="shared" si="33"/>
        <v>Sim</v>
      </c>
    </row>
    <row r="128" spans="2:79" ht="17.25" customHeight="1">
      <c r="B128" s="51" t="s">
        <v>190</v>
      </c>
      <c r="C128" s="13" t="s">
        <v>156</v>
      </c>
      <c r="D128" s="54" t="s">
        <v>208</v>
      </c>
      <c r="E128" s="6" t="s">
        <v>17</v>
      </c>
      <c r="F128" s="4" t="s">
        <v>17</v>
      </c>
      <c r="G128" s="4" t="s">
        <v>17</v>
      </c>
      <c r="H128" s="4" t="s">
        <v>17</v>
      </c>
      <c r="I128" s="4" t="s">
        <v>17</v>
      </c>
      <c r="J128" s="4" t="s">
        <v>17</v>
      </c>
      <c r="K128" s="4" t="s">
        <v>17</v>
      </c>
      <c r="L128" s="5" t="s">
        <v>17</v>
      </c>
      <c r="M128" s="7"/>
      <c r="N128" s="6" t="s">
        <v>3</v>
      </c>
      <c r="O128" s="4">
        <v>1</v>
      </c>
      <c r="P128" s="4" t="s">
        <v>3</v>
      </c>
      <c r="Q128" s="4">
        <v>1</v>
      </c>
      <c r="R128" s="4" t="s">
        <v>5</v>
      </c>
      <c r="S128" s="4">
        <v>1</v>
      </c>
      <c r="T128" s="4" t="s">
        <v>7</v>
      </c>
      <c r="U128" s="5">
        <v>1</v>
      </c>
      <c r="V128" s="7"/>
      <c r="W128" s="6" t="s">
        <v>3</v>
      </c>
      <c r="X128" s="4">
        <v>1</v>
      </c>
      <c r="Y128" s="4" t="s">
        <v>3</v>
      </c>
      <c r="Z128" s="4">
        <v>1</v>
      </c>
      <c r="AA128" s="4" t="s">
        <v>5</v>
      </c>
      <c r="AB128" s="4">
        <v>1</v>
      </c>
      <c r="AC128" s="4" t="s">
        <v>7</v>
      </c>
      <c r="AD128" s="5">
        <v>1</v>
      </c>
      <c r="AE128" s="7"/>
      <c r="AF128" s="6" t="s">
        <v>17</v>
      </c>
      <c r="AG128" s="4" t="s">
        <v>17</v>
      </c>
      <c r="AH128" s="4" t="s">
        <v>17</v>
      </c>
      <c r="AI128" s="4" t="s">
        <v>17</v>
      </c>
      <c r="AJ128" s="4" t="s">
        <v>17</v>
      </c>
      <c r="AK128" s="4" t="s">
        <v>17</v>
      </c>
      <c r="AL128" s="4" t="s">
        <v>17</v>
      </c>
      <c r="AM128" s="5" t="s">
        <v>17</v>
      </c>
      <c r="AN128" s="7"/>
      <c r="AO128" s="6" t="s">
        <v>15</v>
      </c>
      <c r="AP128" s="4" t="s">
        <v>13</v>
      </c>
      <c r="AQ128" s="4" t="s">
        <v>13</v>
      </c>
      <c r="AR128" s="5" t="s">
        <v>15</v>
      </c>
      <c r="AT128" s="4" t="s">
        <v>1</v>
      </c>
      <c r="AU128" s="4" t="str">
        <f t="shared" si="17"/>
        <v>Não</v>
      </c>
      <c r="AV128" s="4" t="s">
        <v>17</v>
      </c>
      <c r="AW128" s="4" t="str">
        <f t="shared" si="18"/>
        <v>N</v>
      </c>
      <c r="AX128" s="4" t="s">
        <v>3</v>
      </c>
      <c r="AY128" s="4" t="str">
        <f t="shared" si="19"/>
        <v>Não</v>
      </c>
      <c r="AZ128" s="4" t="s">
        <v>17</v>
      </c>
      <c r="BA128" s="4" t="str">
        <f t="shared" si="20"/>
        <v>N</v>
      </c>
      <c r="BB128" s="4" t="s">
        <v>17</v>
      </c>
      <c r="BC128" s="4" t="str">
        <f t="shared" si="21"/>
        <v>N</v>
      </c>
      <c r="BD128" s="4" t="s">
        <v>5</v>
      </c>
      <c r="BE128" s="4" t="str">
        <f t="shared" si="22"/>
        <v>Não</v>
      </c>
      <c r="BF128" s="4" t="s">
        <v>1</v>
      </c>
      <c r="BG128" s="4" t="str">
        <f t="shared" si="23"/>
        <v>Não</v>
      </c>
      <c r="BH128" s="4" t="s">
        <v>17</v>
      </c>
      <c r="BI128" s="4" t="str">
        <f t="shared" si="24"/>
        <v>N</v>
      </c>
      <c r="BJ128" s="4" t="s">
        <v>1</v>
      </c>
      <c r="BK128" s="4" t="str">
        <f t="shared" si="25"/>
        <v>Não</v>
      </c>
      <c r="BL128" s="4" t="s">
        <v>3</v>
      </c>
      <c r="BM128" s="4" t="str">
        <f t="shared" si="26"/>
        <v>Sim</v>
      </c>
      <c r="BN128" s="4" t="s">
        <v>17</v>
      </c>
      <c r="BO128" s="4" t="str">
        <f t="shared" si="27"/>
        <v>N</v>
      </c>
      <c r="BP128" s="4" t="s">
        <v>5</v>
      </c>
      <c r="BQ128" s="4" t="str">
        <f t="shared" si="28"/>
        <v>Não</v>
      </c>
      <c r="BR128" s="4" t="s">
        <v>17</v>
      </c>
      <c r="BS128" s="4" t="str">
        <f t="shared" si="29"/>
        <v>N</v>
      </c>
      <c r="BT128" s="4" t="s">
        <v>17</v>
      </c>
      <c r="BU128" s="4" t="str">
        <f t="shared" si="30"/>
        <v>N</v>
      </c>
      <c r="BV128" s="4" t="s">
        <v>17</v>
      </c>
      <c r="BW128" s="4" t="str">
        <f t="shared" si="31"/>
        <v>N</v>
      </c>
      <c r="BX128" s="4" t="s">
        <v>1</v>
      </c>
      <c r="BY128" s="4" t="str">
        <f t="shared" si="32"/>
        <v>Não</v>
      </c>
      <c r="BZ128" s="4" t="s">
        <v>17</v>
      </c>
      <c r="CA128" s="4" t="str">
        <f t="shared" si="33"/>
        <v>N</v>
      </c>
    </row>
    <row r="129" spans="2:79" ht="17.25" customHeight="1">
      <c r="B129" s="52" t="s">
        <v>190</v>
      </c>
      <c r="C129" s="44" t="s">
        <v>156</v>
      </c>
      <c r="D129" s="53" t="s">
        <v>209</v>
      </c>
      <c r="E129" s="6" t="s">
        <v>3</v>
      </c>
      <c r="F129" s="4">
        <v>1</v>
      </c>
      <c r="G129" s="4" t="s">
        <v>3</v>
      </c>
      <c r="H129" s="4">
        <v>1</v>
      </c>
      <c r="I129" s="4" t="s">
        <v>5</v>
      </c>
      <c r="J129" s="4">
        <v>1</v>
      </c>
      <c r="K129" s="4" t="s">
        <v>7</v>
      </c>
      <c r="L129" s="5">
        <v>1</v>
      </c>
      <c r="M129" s="7"/>
      <c r="N129" s="6" t="s">
        <v>3</v>
      </c>
      <c r="O129" s="4">
        <v>1</v>
      </c>
      <c r="P129" s="4" t="s">
        <v>3</v>
      </c>
      <c r="Q129" s="4">
        <v>1</v>
      </c>
      <c r="R129" s="4" t="s">
        <v>5</v>
      </c>
      <c r="S129" s="4">
        <v>1</v>
      </c>
      <c r="T129" s="4" t="s">
        <v>7</v>
      </c>
      <c r="U129" s="5">
        <v>1</v>
      </c>
      <c r="V129" s="7"/>
      <c r="W129" s="6" t="s">
        <v>17</v>
      </c>
      <c r="X129" s="4" t="s">
        <v>17</v>
      </c>
      <c r="Y129" s="4" t="s">
        <v>17</v>
      </c>
      <c r="Z129" s="4" t="s">
        <v>17</v>
      </c>
      <c r="AA129" s="4" t="s">
        <v>17</v>
      </c>
      <c r="AB129" s="4" t="s">
        <v>17</v>
      </c>
      <c r="AC129" s="4" t="s">
        <v>17</v>
      </c>
      <c r="AD129" s="5" t="s">
        <v>17</v>
      </c>
      <c r="AE129" s="7"/>
      <c r="AF129" s="6" t="s">
        <v>17</v>
      </c>
      <c r="AG129" s="4" t="s">
        <v>17</v>
      </c>
      <c r="AH129" s="4" t="s">
        <v>17</v>
      </c>
      <c r="AI129" s="4" t="s">
        <v>17</v>
      </c>
      <c r="AJ129" s="4" t="s">
        <v>17</v>
      </c>
      <c r="AK129" s="4" t="s">
        <v>17</v>
      </c>
      <c r="AL129" s="4" t="s">
        <v>17</v>
      </c>
      <c r="AM129" s="5" t="s">
        <v>17</v>
      </c>
      <c r="AN129" s="7"/>
      <c r="AO129" s="6" t="s">
        <v>13</v>
      </c>
      <c r="AP129" s="4" t="s">
        <v>13</v>
      </c>
      <c r="AQ129" s="4" t="s">
        <v>15</v>
      </c>
      <c r="AR129" s="5" t="s">
        <v>15</v>
      </c>
      <c r="AT129" s="4" t="s">
        <v>3</v>
      </c>
      <c r="AU129" s="4" t="str">
        <f t="shared" si="17"/>
        <v>Sim</v>
      </c>
      <c r="AV129" s="4" t="s">
        <v>3</v>
      </c>
      <c r="AW129" s="4" t="str">
        <f t="shared" si="18"/>
        <v>Não</v>
      </c>
      <c r="AX129" s="4" t="s">
        <v>3</v>
      </c>
      <c r="AY129" s="4" t="str">
        <f t="shared" si="19"/>
        <v>Não</v>
      </c>
      <c r="AZ129" s="4" t="s">
        <v>1</v>
      </c>
      <c r="BA129" s="4" t="str">
        <f t="shared" si="20"/>
        <v>Não</v>
      </c>
      <c r="BB129" s="4" t="s">
        <v>17</v>
      </c>
      <c r="BC129" s="4" t="str">
        <f t="shared" si="21"/>
        <v>N</v>
      </c>
      <c r="BD129" s="4" t="s">
        <v>17</v>
      </c>
      <c r="BE129" s="4" t="str">
        <f t="shared" si="22"/>
        <v>N</v>
      </c>
      <c r="BF129" s="4" t="s">
        <v>17</v>
      </c>
      <c r="BG129" s="4" t="str">
        <f t="shared" si="23"/>
        <v>N</v>
      </c>
      <c r="BH129" s="4" t="s">
        <v>3</v>
      </c>
      <c r="BI129" s="4" t="str">
        <f t="shared" si="24"/>
        <v>Não</v>
      </c>
      <c r="BJ129" s="4" t="s">
        <v>17</v>
      </c>
      <c r="BK129" s="4" t="str">
        <f t="shared" si="25"/>
        <v>N</v>
      </c>
      <c r="BL129" s="4" t="s">
        <v>17</v>
      </c>
      <c r="BM129" s="4" t="str">
        <f t="shared" si="26"/>
        <v>N</v>
      </c>
      <c r="BN129" s="4" t="s">
        <v>17</v>
      </c>
      <c r="BO129" s="4" t="str">
        <f t="shared" si="27"/>
        <v>N</v>
      </c>
      <c r="BP129" s="4" t="s">
        <v>7</v>
      </c>
      <c r="BQ129" s="4" t="str">
        <f t="shared" si="28"/>
        <v>Sim</v>
      </c>
      <c r="BR129" s="4" t="s">
        <v>7</v>
      </c>
      <c r="BS129" s="4" t="str">
        <f t="shared" si="29"/>
        <v>Sim</v>
      </c>
      <c r="BT129" s="4" t="s">
        <v>3</v>
      </c>
      <c r="BU129" s="4" t="str">
        <f t="shared" si="30"/>
        <v>Sim</v>
      </c>
      <c r="BV129" s="4" t="s">
        <v>1</v>
      </c>
      <c r="BW129" s="4" t="str">
        <f t="shared" si="31"/>
        <v>Não</v>
      </c>
      <c r="BX129" s="4" t="s">
        <v>3</v>
      </c>
      <c r="BY129" s="4" t="str">
        <f t="shared" si="32"/>
        <v>Sim</v>
      </c>
      <c r="BZ129" s="4" t="s">
        <v>1</v>
      </c>
      <c r="CA129" s="4" t="str">
        <f t="shared" si="33"/>
        <v>Não</v>
      </c>
    </row>
    <row r="130" spans="2:79" ht="17.25" customHeight="1">
      <c r="B130" s="51" t="s">
        <v>190</v>
      </c>
      <c r="C130" s="13" t="s">
        <v>156</v>
      </c>
      <c r="D130" s="54" t="s">
        <v>210</v>
      </c>
      <c r="E130" s="6" t="s">
        <v>3</v>
      </c>
      <c r="F130" s="4">
        <v>1</v>
      </c>
      <c r="G130" s="4" t="s">
        <v>3</v>
      </c>
      <c r="H130" s="4">
        <v>1</v>
      </c>
      <c r="I130" s="4" t="s">
        <v>5</v>
      </c>
      <c r="J130" s="4">
        <v>1</v>
      </c>
      <c r="K130" s="4" t="s">
        <v>5</v>
      </c>
      <c r="L130" s="5">
        <v>1</v>
      </c>
      <c r="M130" s="7"/>
      <c r="N130" s="6" t="s">
        <v>17</v>
      </c>
      <c r="O130" s="4" t="s">
        <v>17</v>
      </c>
      <c r="P130" s="4" t="s">
        <v>17</v>
      </c>
      <c r="Q130" s="4" t="s">
        <v>17</v>
      </c>
      <c r="R130" s="4" t="s">
        <v>17</v>
      </c>
      <c r="S130" s="4" t="s">
        <v>17</v>
      </c>
      <c r="T130" s="4" t="s">
        <v>17</v>
      </c>
      <c r="U130" s="5" t="s">
        <v>17</v>
      </c>
      <c r="V130" s="7"/>
      <c r="W130" s="6" t="s">
        <v>3</v>
      </c>
      <c r="X130" s="4">
        <v>1</v>
      </c>
      <c r="Y130" s="4" t="s">
        <v>3</v>
      </c>
      <c r="Z130" s="4">
        <v>1</v>
      </c>
      <c r="AA130" s="4" t="s">
        <v>5</v>
      </c>
      <c r="AB130" s="4">
        <v>1</v>
      </c>
      <c r="AC130" s="4" t="s">
        <v>5</v>
      </c>
      <c r="AD130" s="5">
        <v>1</v>
      </c>
      <c r="AE130" s="7"/>
      <c r="AF130" s="6" t="s">
        <v>17</v>
      </c>
      <c r="AG130" s="4" t="s">
        <v>17</v>
      </c>
      <c r="AH130" s="4" t="s">
        <v>17</v>
      </c>
      <c r="AI130" s="4" t="s">
        <v>17</v>
      </c>
      <c r="AJ130" s="4" t="s">
        <v>17</v>
      </c>
      <c r="AK130" s="4" t="s">
        <v>17</v>
      </c>
      <c r="AL130" s="4" t="s">
        <v>17</v>
      </c>
      <c r="AM130" s="5" t="s">
        <v>17</v>
      </c>
      <c r="AN130" s="7"/>
      <c r="AO130" s="6" t="s">
        <v>13</v>
      </c>
      <c r="AP130" s="4" t="s">
        <v>15</v>
      </c>
      <c r="AQ130" s="4" t="s">
        <v>13</v>
      </c>
      <c r="AR130" s="5" t="s">
        <v>15</v>
      </c>
      <c r="AT130" s="4" t="s">
        <v>17</v>
      </c>
      <c r="AU130" s="4" t="str">
        <f t="shared" si="17"/>
        <v>N</v>
      </c>
      <c r="AV130" s="4" t="s">
        <v>5</v>
      </c>
      <c r="AW130" s="4" t="str">
        <f t="shared" si="18"/>
        <v>Sim</v>
      </c>
      <c r="AX130" s="4" t="s">
        <v>17</v>
      </c>
      <c r="AY130" s="4" t="str">
        <f t="shared" si="19"/>
        <v>N</v>
      </c>
      <c r="AZ130" s="4" t="s">
        <v>3</v>
      </c>
      <c r="BA130" s="4" t="str">
        <f t="shared" si="20"/>
        <v>Não</v>
      </c>
      <c r="BB130" s="4" t="s">
        <v>17</v>
      </c>
      <c r="BC130" s="4" t="str">
        <f t="shared" si="21"/>
        <v>N</v>
      </c>
      <c r="BD130" s="4" t="s">
        <v>5</v>
      </c>
      <c r="BE130" s="4" t="str">
        <f t="shared" si="22"/>
        <v>Sim</v>
      </c>
      <c r="BF130" s="4" t="s">
        <v>3</v>
      </c>
      <c r="BG130" s="4" t="str">
        <f t="shared" si="23"/>
        <v>Sim</v>
      </c>
      <c r="BH130" s="4" t="s">
        <v>3</v>
      </c>
      <c r="BI130" s="4" t="str">
        <f t="shared" si="24"/>
        <v>Não</v>
      </c>
      <c r="BJ130" s="4" t="s">
        <v>5</v>
      </c>
      <c r="BK130" s="4" t="str">
        <f t="shared" si="25"/>
        <v>Sim</v>
      </c>
      <c r="BL130" s="4" t="s">
        <v>3</v>
      </c>
      <c r="BM130" s="4" t="str">
        <f t="shared" si="26"/>
        <v>Sim</v>
      </c>
      <c r="BN130" s="4" t="s">
        <v>17</v>
      </c>
      <c r="BO130" s="4" t="str">
        <f t="shared" si="27"/>
        <v>N</v>
      </c>
      <c r="BP130" s="4" t="s">
        <v>17</v>
      </c>
      <c r="BQ130" s="4" t="str">
        <f t="shared" si="28"/>
        <v>N</v>
      </c>
      <c r="BR130" s="4" t="s">
        <v>3</v>
      </c>
      <c r="BS130" s="4" t="str">
        <f t="shared" si="29"/>
        <v>Não</v>
      </c>
      <c r="BT130" s="4" t="s">
        <v>5</v>
      </c>
      <c r="BU130" s="4" t="str">
        <f t="shared" si="30"/>
        <v>Sim</v>
      </c>
      <c r="BV130" s="4" t="s">
        <v>3</v>
      </c>
      <c r="BW130" s="4" t="str">
        <f t="shared" si="31"/>
        <v>Sim</v>
      </c>
      <c r="BX130" s="4" t="s">
        <v>17</v>
      </c>
      <c r="BY130" s="4" t="str">
        <f t="shared" si="32"/>
        <v>N</v>
      </c>
      <c r="BZ130" s="4" t="s">
        <v>1</v>
      </c>
      <c r="CA130" s="4" t="str">
        <f t="shared" si="33"/>
        <v>Não</v>
      </c>
    </row>
    <row r="131" spans="2:79" ht="17.25" customHeight="1">
      <c r="B131" s="52" t="s">
        <v>190</v>
      </c>
      <c r="C131" s="44" t="s">
        <v>156</v>
      </c>
      <c r="D131" s="53" t="s">
        <v>211</v>
      </c>
      <c r="E131" s="6" t="s">
        <v>17</v>
      </c>
      <c r="F131" s="4" t="s">
        <v>17</v>
      </c>
      <c r="G131" s="4" t="s">
        <v>17</v>
      </c>
      <c r="H131" s="4" t="s">
        <v>17</v>
      </c>
      <c r="I131" s="4" t="s">
        <v>17</v>
      </c>
      <c r="J131" s="4" t="s">
        <v>17</v>
      </c>
      <c r="K131" s="4" t="s">
        <v>17</v>
      </c>
      <c r="L131" s="5" t="s">
        <v>17</v>
      </c>
      <c r="M131" s="7"/>
      <c r="N131" s="6" t="s">
        <v>3</v>
      </c>
      <c r="O131" s="4">
        <v>1</v>
      </c>
      <c r="P131" s="4" t="s">
        <v>3</v>
      </c>
      <c r="Q131" s="4">
        <v>1</v>
      </c>
      <c r="R131" s="4" t="s">
        <v>5</v>
      </c>
      <c r="S131" s="4">
        <v>1</v>
      </c>
      <c r="T131" s="4" t="s">
        <v>7</v>
      </c>
      <c r="U131" s="5">
        <v>1</v>
      </c>
      <c r="V131" s="7"/>
      <c r="W131" s="6" t="s">
        <v>17</v>
      </c>
      <c r="X131" s="4" t="s">
        <v>17</v>
      </c>
      <c r="Y131" s="4" t="s">
        <v>17</v>
      </c>
      <c r="Z131" s="4" t="s">
        <v>17</v>
      </c>
      <c r="AA131" s="4" t="s">
        <v>17</v>
      </c>
      <c r="AB131" s="4" t="s">
        <v>17</v>
      </c>
      <c r="AC131" s="4" t="s">
        <v>17</v>
      </c>
      <c r="AD131" s="5" t="s">
        <v>17</v>
      </c>
      <c r="AE131" s="7"/>
      <c r="AF131" s="6" t="s">
        <v>17</v>
      </c>
      <c r="AG131" s="4" t="s">
        <v>17</v>
      </c>
      <c r="AH131" s="4" t="s">
        <v>17</v>
      </c>
      <c r="AI131" s="4" t="s">
        <v>17</v>
      </c>
      <c r="AJ131" s="4" t="s">
        <v>17</v>
      </c>
      <c r="AK131" s="4" t="s">
        <v>17</v>
      </c>
      <c r="AL131" s="4" t="s">
        <v>17</v>
      </c>
      <c r="AM131" s="5" t="s">
        <v>17</v>
      </c>
      <c r="AN131" s="7"/>
      <c r="AO131" s="6" t="s">
        <v>15</v>
      </c>
      <c r="AP131" s="4" t="s">
        <v>13</v>
      </c>
      <c r="AQ131" s="4" t="s">
        <v>15</v>
      </c>
      <c r="AR131" s="5" t="s">
        <v>15</v>
      </c>
      <c r="AT131" s="4" t="s">
        <v>3</v>
      </c>
      <c r="AU131" s="4" t="str">
        <f t="shared" si="17"/>
        <v>Sim</v>
      </c>
      <c r="AV131" s="4" t="s">
        <v>17</v>
      </c>
      <c r="AW131" s="4" t="str">
        <f t="shared" si="18"/>
        <v>N</v>
      </c>
      <c r="AX131" s="4" t="s">
        <v>1</v>
      </c>
      <c r="AY131" s="4" t="str">
        <f t="shared" si="19"/>
        <v>Não</v>
      </c>
      <c r="AZ131" s="4" t="s">
        <v>17</v>
      </c>
      <c r="BA131" s="4" t="str">
        <f t="shared" si="20"/>
        <v>N</v>
      </c>
      <c r="BB131" s="4" t="s">
        <v>17</v>
      </c>
      <c r="BC131" s="4" t="str">
        <f t="shared" si="21"/>
        <v>N</v>
      </c>
      <c r="BD131" s="4" t="s">
        <v>17</v>
      </c>
      <c r="BE131" s="4" t="str">
        <f t="shared" si="22"/>
        <v>N</v>
      </c>
      <c r="BF131" s="4" t="s">
        <v>17</v>
      </c>
      <c r="BG131" s="4" t="str">
        <f t="shared" si="23"/>
        <v>N</v>
      </c>
      <c r="BH131" s="4" t="s">
        <v>17</v>
      </c>
      <c r="BI131" s="4" t="str">
        <f t="shared" si="24"/>
        <v>N</v>
      </c>
      <c r="BJ131" s="4" t="s">
        <v>17</v>
      </c>
      <c r="BK131" s="4" t="str">
        <f t="shared" si="25"/>
        <v>N</v>
      </c>
      <c r="BL131" s="4" t="s">
        <v>17</v>
      </c>
      <c r="BM131" s="4" t="str">
        <f t="shared" si="26"/>
        <v>N</v>
      </c>
      <c r="BN131" s="4" t="s">
        <v>17</v>
      </c>
      <c r="BO131" s="4" t="str">
        <f t="shared" si="27"/>
        <v>N</v>
      </c>
      <c r="BP131" s="4" t="s">
        <v>3</v>
      </c>
      <c r="BQ131" s="4" t="str">
        <f t="shared" si="28"/>
        <v>Não</v>
      </c>
      <c r="BR131" s="4" t="s">
        <v>17</v>
      </c>
      <c r="BS131" s="4" t="str">
        <f t="shared" si="29"/>
        <v>N</v>
      </c>
      <c r="BT131" s="4" t="s">
        <v>17</v>
      </c>
      <c r="BU131" s="4" t="str">
        <f t="shared" si="30"/>
        <v>N</v>
      </c>
      <c r="BV131" s="4" t="s">
        <v>17</v>
      </c>
      <c r="BW131" s="4" t="str">
        <f t="shared" si="31"/>
        <v>N</v>
      </c>
      <c r="BX131" s="4" t="s">
        <v>1</v>
      </c>
      <c r="BY131" s="4" t="str">
        <f t="shared" si="32"/>
        <v>Não</v>
      </c>
      <c r="BZ131" s="4" t="s">
        <v>17</v>
      </c>
      <c r="CA131" s="4" t="str">
        <f t="shared" si="33"/>
        <v>N</v>
      </c>
    </row>
    <row r="132" spans="2:79" ht="17.25" customHeight="1">
      <c r="B132" s="51" t="s">
        <v>190</v>
      </c>
      <c r="C132" s="13" t="s">
        <v>156</v>
      </c>
      <c r="D132" s="54" t="s">
        <v>212</v>
      </c>
      <c r="E132" s="6" t="s">
        <v>17</v>
      </c>
      <c r="F132" s="4">
        <v>0</v>
      </c>
      <c r="G132" s="4" t="s">
        <v>3</v>
      </c>
      <c r="H132" s="4">
        <v>1</v>
      </c>
      <c r="I132" s="4" t="s">
        <v>5</v>
      </c>
      <c r="J132" s="4">
        <v>1</v>
      </c>
      <c r="K132" s="4" t="s">
        <v>5</v>
      </c>
      <c r="L132" s="5">
        <v>1</v>
      </c>
      <c r="M132" s="7"/>
      <c r="N132" s="6" t="s">
        <v>17</v>
      </c>
      <c r="O132" s="4" t="s">
        <v>17</v>
      </c>
      <c r="P132" s="4" t="s">
        <v>17</v>
      </c>
      <c r="Q132" s="4" t="s">
        <v>17</v>
      </c>
      <c r="R132" s="4" t="s">
        <v>17</v>
      </c>
      <c r="S132" s="4" t="s">
        <v>17</v>
      </c>
      <c r="T132" s="4" t="s">
        <v>17</v>
      </c>
      <c r="U132" s="5" t="s">
        <v>17</v>
      </c>
      <c r="V132" s="7"/>
      <c r="W132" s="6" t="s">
        <v>17</v>
      </c>
      <c r="X132" s="4" t="s">
        <v>17</v>
      </c>
      <c r="Y132" s="4" t="s">
        <v>3</v>
      </c>
      <c r="Z132" s="4">
        <v>1</v>
      </c>
      <c r="AA132" s="4" t="s">
        <v>5</v>
      </c>
      <c r="AB132" s="4">
        <v>1</v>
      </c>
      <c r="AC132" s="4" t="s">
        <v>5</v>
      </c>
      <c r="AD132" s="5">
        <v>1</v>
      </c>
      <c r="AE132" s="7"/>
      <c r="AF132" s="6" t="s">
        <v>17</v>
      </c>
      <c r="AG132" s="4" t="s">
        <v>17</v>
      </c>
      <c r="AH132" s="4" t="s">
        <v>17</v>
      </c>
      <c r="AI132" s="4" t="s">
        <v>17</v>
      </c>
      <c r="AJ132" s="4" t="s">
        <v>17</v>
      </c>
      <c r="AK132" s="4" t="s">
        <v>17</v>
      </c>
      <c r="AL132" s="4" t="s">
        <v>17</v>
      </c>
      <c r="AM132" s="5" t="s">
        <v>17</v>
      </c>
      <c r="AN132" s="7"/>
      <c r="AO132" s="6" t="s">
        <v>13</v>
      </c>
      <c r="AP132" s="4" t="s">
        <v>15</v>
      </c>
      <c r="AQ132" s="4" t="s">
        <v>13</v>
      </c>
      <c r="AR132" s="5" t="s">
        <v>15</v>
      </c>
      <c r="AT132" s="4" t="s">
        <v>17</v>
      </c>
      <c r="AU132" s="4" t="str">
        <f t="shared" si="17"/>
        <v>N</v>
      </c>
      <c r="AV132" s="4" t="s">
        <v>7</v>
      </c>
      <c r="AW132" s="4" t="str">
        <f t="shared" si="18"/>
        <v>Sim</v>
      </c>
      <c r="AX132" s="4" t="s">
        <v>17</v>
      </c>
      <c r="AY132" s="4" t="str">
        <f t="shared" si="19"/>
        <v>N</v>
      </c>
      <c r="AZ132" s="4" t="s">
        <v>3</v>
      </c>
      <c r="BA132" s="4" t="str">
        <f t="shared" si="20"/>
        <v>Não</v>
      </c>
      <c r="BB132" s="4" t="s">
        <v>17</v>
      </c>
      <c r="BC132" s="4" t="str">
        <f t="shared" si="21"/>
        <v>N</v>
      </c>
      <c r="BD132" s="4" t="s">
        <v>7</v>
      </c>
      <c r="BE132" s="4" t="str">
        <f t="shared" si="22"/>
        <v>Sim</v>
      </c>
      <c r="BF132" s="4" t="s">
        <v>3</v>
      </c>
      <c r="BG132" s="4" t="str">
        <f t="shared" si="23"/>
        <v>Sim</v>
      </c>
      <c r="BH132" s="4" t="s">
        <v>3</v>
      </c>
      <c r="BI132" s="4" t="str">
        <f t="shared" si="24"/>
        <v>Não</v>
      </c>
      <c r="BJ132" s="4" t="s">
        <v>3</v>
      </c>
      <c r="BK132" s="4" t="str">
        <f t="shared" si="25"/>
        <v>Sim</v>
      </c>
      <c r="BL132" s="4" t="s">
        <v>5</v>
      </c>
      <c r="BM132" s="4" t="str">
        <f t="shared" si="26"/>
        <v>Sim</v>
      </c>
      <c r="BN132" s="4" t="s">
        <v>17</v>
      </c>
      <c r="BO132" s="4" t="str">
        <f t="shared" si="27"/>
        <v>N</v>
      </c>
      <c r="BP132" s="4" t="s">
        <v>17</v>
      </c>
      <c r="BQ132" s="4" t="str">
        <f t="shared" si="28"/>
        <v>N</v>
      </c>
      <c r="BR132" s="4" t="s">
        <v>5</v>
      </c>
      <c r="BS132" s="4" t="str">
        <f t="shared" si="29"/>
        <v>Sim</v>
      </c>
      <c r="BT132" s="4" t="s">
        <v>3</v>
      </c>
      <c r="BU132" s="4" t="str">
        <f t="shared" si="30"/>
        <v>Sim</v>
      </c>
      <c r="BV132" s="4" t="s">
        <v>7</v>
      </c>
      <c r="BW132" s="4" t="str">
        <f t="shared" si="31"/>
        <v>Sim</v>
      </c>
      <c r="BX132" s="4" t="s">
        <v>17</v>
      </c>
      <c r="BY132" s="4" t="str">
        <f t="shared" si="32"/>
        <v>N</v>
      </c>
      <c r="BZ132" s="4" t="s">
        <v>1</v>
      </c>
      <c r="CA132" s="4" t="str">
        <f t="shared" si="33"/>
        <v>Não</v>
      </c>
    </row>
    <row r="133" spans="2:79" ht="17.25" customHeight="1">
      <c r="B133" s="52" t="s">
        <v>190</v>
      </c>
      <c r="C133" s="44" t="s">
        <v>117</v>
      </c>
      <c r="D133" s="53" t="s">
        <v>213</v>
      </c>
      <c r="E133" s="6" t="s">
        <v>17</v>
      </c>
      <c r="F133" s="4" t="s">
        <v>17</v>
      </c>
      <c r="G133" s="4" t="s">
        <v>17</v>
      </c>
      <c r="H133" s="4" t="s">
        <v>17</v>
      </c>
      <c r="I133" s="4" t="s">
        <v>17</v>
      </c>
      <c r="J133" s="4" t="s">
        <v>17</v>
      </c>
      <c r="K133" s="4" t="s">
        <v>17</v>
      </c>
      <c r="L133" s="5" t="s">
        <v>17</v>
      </c>
      <c r="M133" s="7"/>
      <c r="N133" s="6" t="s">
        <v>17</v>
      </c>
      <c r="O133" s="4" t="s">
        <v>17</v>
      </c>
      <c r="P133" s="4" t="s">
        <v>17</v>
      </c>
      <c r="Q133" s="4" t="s">
        <v>17</v>
      </c>
      <c r="R133" s="4" t="s">
        <v>17</v>
      </c>
      <c r="S133" s="4" t="s">
        <v>17</v>
      </c>
      <c r="T133" s="4" t="s">
        <v>17</v>
      </c>
      <c r="U133" s="5" t="s">
        <v>17</v>
      </c>
      <c r="V133" s="7"/>
      <c r="W133" s="6" t="s">
        <v>3</v>
      </c>
      <c r="X133" s="4">
        <v>1</v>
      </c>
      <c r="Y133" s="4" t="s">
        <v>3</v>
      </c>
      <c r="Z133" s="4">
        <v>1</v>
      </c>
      <c r="AA133" s="4" t="s">
        <v>5</v>
      </c>
      <c r="AB133" s="4">
        <v>1</v>
      </c>
      <c r="AC133" s="4" t="s">
        <v>7</v>
      </c>
      <c r="AD133" s="5">
        <v>1</v>
      </c>
      <c r="AE133" s="7"/>
      <c r="AF133" s="6" t="s">
        <v>17</v>
      </c>
      <c r="AG133" s="4" t="s">
        <v>17</v>
      </c>
      <c r="AH133" s="4" t="s">
        <v>17</v>
      </c>
      <c r="AI133" s="4" t="s">
        <v>17</v>
      </c>
      <c r="AJ133" s="4" t="s">
        <v>17</v>
      </c>
      <c r="AK133" s="4" t="s">
        <v>17</v>
      </c>
      <c r="AL133" s="4" t="s">
        <v>17</v>
      </c>
      <c r="AM133" s="5" t="s">
        <v>17</v>
      </c>
      <c r="AN133" s="7"/>
      <c r="AO133" s="6" t="s">
        <v>15</v>
      </c>
      <c r="AP133" s="4" t="s">
        <v>15</v>
      </c>
      <c r="AQ133" s="4" t="s">
        <v>13</v>
      </c>
      <c r="AR133" s="5" t="s">
        <v>15</v>
      </c>
      <c r="AT133" s="4" t="s">
        <v>17</v>
      </c>
      <c r="AU133" s="4" t="str">
        <f t="shared" ref="AU133:AU137" si="34">IF($P133="N", "N",
    IF($B133="Não", "Sim",
        IF(OR(
            AT133=$P133,
            AND($P133="B", OR(AT133="B", AT133="P", AT133="O")),
            AND($P133="P", OR(AT133="P", AT133="O")),
            AND($P133="O", AT133="O")), "Sim", "Não")
    )
)</f>
        <v>N</v>
      </c>
      <c r="AV133" s="4" t="s">
        <v>17</v>
      </c>
      <c r="AW133" s="4" t="str">
        <f t="shared" ref="AW133:AW137" si="35">IF($I133="N", "N",
    IF($B133="Não", "Sim",
        IF(OR(
            AV133=$I133,
            AND($I133="B", OR(AV133="B", AV133="P", AV133="O")),
            AND($I133="P", OR(AV133="P", AV133="O")),
            AND($I133="O", AV133="O")), "Sim", "Não")
    )
)</f>
        <v>N</v>
      </c>
      <c r="AX133" s="4" t="s">
        <v>17</v>
      </c>
      <c r="AY133" s="4" t="str">
        <f t="shared" ref="AY133:AY137" si="36">IF($R133="N", "N",
    IF($B133="Não", "Sim",
        IF(OR(
            AX133=$R133,
            AND($R133="B", OR(AX133="B", AX133="P", AX133="O")),
            AND($R133="P", OR(AX133="P", AX133="O")),
            AND($R133="O", AX133="O")), "Sim", "Não")
    )
)</f>
        <v>N</v>
      </c>
      <c r="AZ133" s="4" t="s">
        <v>17</v>
      </c>
      <c r="BA133" s="4" t="str">
        <f t="shared" ref="BA133:BA137" si="37">IF($I133="N", "N",
    IF($B133="Não", "Sim",
        IF(OR(
            AZ133=$I133,
            AND($I133="B", OR(AZ133="B", AZ133="P", AZ133="O")),
            AND($I133="P", OR(AZ133="P", AZ133="O")),
            AND($I133="O", AZ133="O")), "Sim", "Não")
    )
)</f>
        <v>N</v>
      </c>
      <c r="BB133" s="4" t="s">
        <v>17</v>
      </c>
      <c r="BC133" s="4" t="str">
        <f t="shared" ref="BC133:BC137" si="38">IF($AJ133="N", "N",
    IF($B133="Não", "Sim",
        IF(OR(
            BB133=$AJ133,
            AND($AJ133="B", OR(BB133="B", BB133="P", BB133="O")),
            AND($AJ133="P", OR(BB133="P", BB133="O")),
            AND($AJ133="O", BB133="O")), "Sim", "Não")
    )
)</f>
        <v>N</v>
      </c>
      <c r="BD133" s="4" t="s">
        <v>7</v>
      </c>
      <c r="BE133" s="4" t="str">
        <f t="shared" ref="BE133:BE137" si="39">IF($AC133="N", "N",
    IF($B133="Não", "Sim",
        IF(OR(
            BD133=$AC133,
            AND($AC133="B", OR(BD133="B", BD133="P", BD133="O")),
            AND($AC133="P", OR(BD133="P", BD133="O")),
            AND($AC133="O", BD133="O")), "Sim", "Não")
    )
)</f>
        <v>Sim</v>
      </c>
      <c r="BF133" s="4" t="s">
        <v>3</v>
      </c>
      <c r="BG133" s="4" t="str">
        <f t="shared" ref="BG133:BG137" si="40">IF($Y133="N", "N",
    IF($B133="Não", "Sim",
        IF(OR(
            BF133=$Y133,
            AND($Y133="B", OR(BF133="B", BF133="P", BF133="O")),
            AND($Y133="P", OR(BF133="P", BF133="O")),
            AND($Y133="O", BF133="O")), "Sim", "Não")
    )
)</f>
        <v>Sim</v>
      </c>
      <c r="BH133" s="4" t="s">
        <v>17</v>
      </c>
      <c r="BI133" s="4" t="str">
        <f t="shared" ref="BI133:BI137" si="41">IF($K133="N", "N",
    IF($B133="Não", "Sim",
        IF(OR(
            BH133=$K133,
            AND($K133="B", OR(BH133="B", BH133="P", BH133="O")),
            AND($K133="P", OR(BH133="P", BH133="O")),
            AND($K133="O", BH133="O")), "Sim", "Não")
    )
)</f>
        <v>N</v>
      </c>
      <c r="BJ133" s="4" t="s">
        <v>3</v>
      </c>
      <c r="BK133" s="4" t="str">
        <f t="shared" ref="BK133:BK137" si="42">IF($Y133="N", "N",
    IF($B133="Não", "Sim",
        IF(OR(
            BJ133=$Y133,
            AND($Y133="B", OR(BJ133="B", BJ133="P", BJ133="O")),
            AND($Y133="P", OR(BJ133="P", BJ133="O")),
            AND($Y133="O", BJ133="O")), "Sim", "Não")
    )
)</f>
        <v>Sim</v>
      </c>
      <c r="BL133" s="4" t="s">
        <v>3</v>
      </c>
      <c r="BM133" s="4" t="str">
        <f t="shared" ref="BM133:BM137" si="43">IF($Y133="N", "N",
    IF($B133="Não", "Sim",
        IF(OR(
            BL133=$Y133,
            AND($Y133="B", OR(BL133="B", BL133="P", BL133="O")),
            AND($Y133="P", OR(BL133="P", BL133="O")),
            AND($Y133="O", BL133="O")), "Sim", "Não")
    )
)</f>
        <v>Sim</v>
      </c>
      <c r="BN133" s="4" t="s">
        <v>17</v>
      </c>
      <c r="BO133" s="4" t="str">
        <f t="shared" ref="BO133:BO137" si="44">IF($AJ133="N", "N",
    IF($B133="Não", "Sim",
        IF(OR(
            BN133=$AJ133,
            AND($AJ133="B", OR(BN133="B", BN133="P", BN133="O")),
            AND($AJ133="P", OR(BN133="P", BN133="O")),
            AND($AJ133="O", BN133="O")), "Sim", "Não")
    )
)</f>
        <v>N</v>
      </c>
      <c r="BP133" s="4" t="s">
        <v>17</v>
      </c>
      <c r="BQ133" s="4" t="str">
        <f t="shared" ref="BQ133:BQ137" si="45">IF($T133="N", "N",
    IF($B133="Não", "Sim",
        IF(OR(
            BP133=$T133,
            AND($T133="B", OR(BP133="B", BP133="P", BP133="O")),
            AND($T133="P", OR(BP133="P", BP133="O")),
            AND($T133="O", BP133="O")), "Sim", "Não")
    )
)</f>
        <v>N</v>
      </c>
      <c r="BR133" s="4" t="s">
        <v>17</v>
      </c>
      <c r="BS133" s="4" t="str">
        <f t="shared" ref="BS133:BS137" si="46">IF($I133="N", "N",
    IF($B133="Não", "Sim",
        IF(OR(
            BR133=$I133,
            AND($I133="B", OR(BR133="B", BR133="P", BR133="O")),
            AND($I133="P", OR(BR133="P", BR133="O")),
            AND($I133="O", BR133="O")), "Sim", "Não")
    )
)</f>
        <v>N</v>
      </c>
      <c r="BT133" s="4" t="s">
        <v>17</v>
      </c>
      <c r="BU133" s="4" t="str">
        <f t="shared" ref="BU133:BU137" si="47">IF($G133="N", "N",
    IF($B133="Não", "Sim",
        IF(OR(
            BT133=$G133,
            AND($G133="B", OR(BT133="B", BT133="P", BT133="O")),
            AND($G133="P", OR(BT133="P", BT133="O")),
            AND($G133="O", BT133="O")), "Sim", "Não")
    )
)</f>
        <v>N</v>
      </c>
      <c r="BV133" s="4" t="s">
        <v>17</v>
      </c>
      <c r="BW133" s="4" t="str">
        <f t="shared" ref="BW133:BW137" si="48">IF($G133="N", "N",
    IF($B133="Não", "Sim",
        IF(OR(
            BV133=$G133,
            AND($G133="B", OR(BV133="B", BV133="P", BV133="O")),
            AND($G133="P", OR(BV133="P", BV133="O")),
            AND($G133="O", BV133="O")), "Sim", "Não")
    )
)</f>
        <v>N</v>
      </c>
      <c r="BX133" s="4" t="s">
        <v>17</v>
      </c>
      <c r="BY133" s="4" t="str">
        <f t="shared" ref="BY133:BY137" si="49">IF($P133="N", "N",
    IF($B133="Não", "Sim",
        IF(OR(
            BX133=$P133,
            AND($P133="B", OR(BX133="B", BX133="P", BX133="O")),
            AND($P133="P", OR(BX133="P", BX133="O")),
            AND($P133="O", BX133="O")), "Sim", "Não")
    )
)</f>
        <v>N</v>
      </c>
      <c r="BZ133" s="4" t="s">
        <v>17</v>
      </c>
      <c r="CA133" s="4" t="str">
        <f t="shared" ref="CA133:CA137" si="50">IF($G133="N", "N",
    IF($B133="Não", "Sim",
        IF(OR(
            BZ133=$G133,
            AND($G133="B", OR(BZ133="B", BZ133="P", BZ133="O")),
            AND($G133="P", OR(BZ133="P", BZ133="O")),
            AND($G133="O", BZ133="O")), "Sim", "Não")
    )
)</f>
        <v>N</v>
      </c>
    </row>
    <row r="134" spans="2:79" ht="17.25" customHeight="1">
      <c r="B134" s="51" t="s">
        <v>190</v>
      </c>
      <c r="C134" s="13" t="s">
        <v>57</v>
      </c>
      <c r="D134" s="54" t="s">
        <v>214</v>
      </c>
      <c r="E134" s="6" t="s">
        <v>17</v>
      </c>
      <c r="F134" s="4" t="s">
        <v>17</v>
      </c>
      <c r="G134" s="4" t="s">
        <v>17</v>
      </c>
      <c r="H134" s="4" t="s">
        <v>17</v>
      </c>
      <c r="I134" s="4" t="s">
        <v>17</v>
      </c>
      <c r="J134" s="4" t="s">
        <v>17</v>
      </c>
      <c r="K134" s="4" t="s">
        <v>17</v>
      </c>
      <c r="L134" s="5" t="s">
        <v>17</v>
      </c>
      <c r="M134" s="7"/>
      <c r="N134" s="6" t="s">
        <v>17</v>
      </c>
      <c r="O134" s="4" t="s">
        <v>17</v>
      </c>
      <c r="P134" s="4" t="s">
        <v>17</v>
      </c>
      <c r="Q134" s="4" t="s">
        <v>17</v>
      </c>
      <c r="R134" s="4" t="s">
        <v>17</v>
      </c>
      <c r="S134" s="4" t="s">
        <v>17</v>
      </c>
      <c r="T134" s="4" t="s">
        <v>17</v>
      </c>
      <c r="U134" s="5" t="s">
        <v>17</v>
      </c>
      <c r="V134" s="7"/>
      <c r="W134" s="6" t="s">
        <v>17</v>
      </c>
      <c r="X134" s="4" t="s">
        <v>17</v>
      </c>
      <c r="Y134" s="4" t="s">
        <v>17</v>
      </c>
      <c r="Z134" s="4" t="s">
        <v>17</v>
      </c>
      <c r="AA134" s="4" t="s">
        <v>17</v>
      </c>
      <c r="AB134" s="4" t="s">
        <v>17</v>
      </c>
      <c r="AC134" s="4" t="s">
        <v>17</v>
      </c>
      <c r="AD134" s="5" t="s">
        <v>17</v>
      </c>
      <c r="AE134" s="7"/>
      <c r="AF134" s="6" t="s">
        <v>17</v>
      </c>
      <c r="AG134" s="4" t="s">
        <v>17</v>
      </c>
      <c r="AH134" s="4" t="s">
        <v>3</v>
      </c>
      <c r="AI134" s="4">
        <v>1</v>
      </c>
      <c r="AJ134" s="4" t="s">
        <v>5</v>
      </c>
      <c r="AK134" s="4">
        <v>1</v>
      </c>
      <c r="AL134" s="4" t="s">
        <v>7</v>
      </c>
      <c r="AM134" s="5">
        <v>1</v>
      </c>
      <c r="AN134" s="7"/>
      <c r="AO134" s="6" t="s">
        <v>15</v>
      </c>
      <c r="AP134" s="4" t="s">
        <v>15</v>
      </c>
      <c r="AQ134" s="4" t="s">
        <v>15</v>
      </c>
      <c r="AR134" s="5" t="s">
        <v>13</v>
      </c>
      <c r="AT134" s="4" t="s">
        <v>17</v>
      </c>
      <c r="AU134" s="4" t="str">
        <f t="shared" si="34"/>
        <v>N</v>
      </c>
      <c r="AV134" s="4" t="s">
        <v>17</v>
      </c>
      <c r="AW134" s="4" t="str">
        <f t="shared" si="35"/>
        <v>N</v>
      </c>
      <c r="AX134" s="4" t="s">
        <v>17</v>
      </c>
      <c r="AY134" s="4" t="str">
        <f t="shared" si="36"/>
        <v>N</v>
      </c>
      <c r="AZ134" s="4" t="s">
        <v>17</v>
      </c>
      <c r="BA134" s="4" t="str">
        <f t="shared" si="37"/>
        <v>N</v>
      </c>
      <c r="BB134" s="4" t="s">
        <v>3</v>
      </c>
      <c r="BC134" s="4" t="str">
        <f t="shared" si="38"/>
        <v>Não</v>
      </c>
      <c r="BD134" s="4" t="s">
        <v>17</v>
      </c>
      <c r="BE134" s="4" t="str">
        <f t="shared" si="39"/>
        <v>N</v>
      </c>
      <c r="BF134" s="4" t="s">
        <v>17</v>
      </c>
      <c r="BG134" s="4" t="str">
        <f t="shared" si="40"/>
        <v>N</v>
      </c>
      <c r="BH134" s="4" t="s">
        <v>17</v>
      </c>
      <c r="BI134" s="4" t="str">
        <f t="shared" si="41"/>
        <v>N</v>
      </c>
      <c r="BJ134" s="4" t="s">
        <v>17</v>
      </c>
      <c r="BK134" s="4" t="str">
        <f t="shared" si="42"/>
        <v>N</v>
      </c>
      <c r="BL134" s="4" t="s">
        <v>17</v>
      </c>
      <c r="BM134" s="4" t="str">
        <f t="shared" si="43"/>
        <v>N</v>
      </c>
      <c r="BN134" s="4" t="s">
        <v>3</v>
      </c>
      <c r="BO134" s="4" t="str">
        <f t="shared" si="44"/>
        <v>Não</v>
      </c>
      <c r="BP134" s="4" t="s">
        <v>17</v>
      </c>
      <c r="BQ134" s="4" t="str">
        <f t="shared" si="45"/>
        <v>N</v>
      </c>
      <c r="BR134" s="4" t="s">
        <v>17</v>
      </c>
      <c r="BS134" s="4" t="str">
        <f t="shared" si="46"/>
        <v>N</v>
      </c>
      <c r="BT134" s="4" t="s">
        <v>17</v>
      </c>
      <c r="BU134" s="4" t="str">
        <f t="shared" si="47"/>
        <v>N</v>
      </c>
      <c r="BV134" s="4" t="s">
        <v>17</v>
      </c>
      <c r="BW134" s="4" t="str">
        <f t="shared" si="48"/>
        <v>N</v>
      </c>
      <c r="BX134" s="4" t="s">
        <v>17</v>
      </c>
      <c r="BY134" s="4" t="str">
        <f t="shared" si="49"/>
        <v>N</v>
      </c>
      <c r="BZ134" s="4" t="s">
        <v>17</v>
      </c>
      <c r="CA134" s="4" t="str">
        <f t="shared" si="50"/>
        <v>N</v>
      </c>
    </row>
    <row r="135" spans="2:79" ht="17.25" customHeight="1">
      <c r="B135" s="52" t="s">
        <v>190</v>
      </c>
      <c r="C135" s="44" t="s">
        <v>156</v>
      </c>
      <c r="D135" s="53" t="s">
        <v>215</v>
      </c>
      <c r="E135" s="6" t="s">
        <v>17</v>
      </c>
      <c r="F135" s="4" t="s">
        <v>17</v>
      </c>
      <c r="G135" s="4" t="s">
        <v>17</v>
      </c>
      <c r="H135" s="4" t="s">
        <v>17</v>
      </c>
      <c r="I135" s="4" t="s">
        <v>5</v>
      </c>
      <c r="J135" s="4">
        <v>1</v>
      </c>
      <c r="K135" s="4" t="s">
        <v>7</v>
      </c>
      <c r="L135" s="5">
        <v>1</v>
      </c>
      <c r="M135" s="7"/>
      <c r="N135" s="6" t="s">
        <v>17</v>
      </c>
      <c r="O135" s="4" t="s">
        <v>17</v>
      </c>
      <c r="P135" s="4" t="s">
        <v>17</v>
      </c>
      <c r="Q135" s="4" t="s">
        <v>17</v>
      </c>
      <c r="R135" s="4" t="s">
        <v>5</v>
      </c>
      <c r="S135" s="4">
        <v>1</v>
      </c>
      <c r="T135" s="4" t="s">
        <v>7</v>
      </c>
      <c r="U135" s="5">
        <v>1</v>
      </c>
      <c r="V135" s="7"/>
      <c r="W135" s="6" t="s">
        <v>17</v>
      </c>
      <c r="X135" s="4" t="s">
        <v>17</v>
      </c>
      <c r="Y135" s="4" t="s">
        <v>17</v>
      </c>
      <c r="Z135" s="4" t="s">
        <v>17</v>
      </c>
      <c r="AA135" s="4" t="s">
        <v>17</v>
      </c>
      <c r="AB135" s="4" t="s">
        <v>17</v>
      </c>
      <c r="AC135" s="4" t="s">
        <v>17</v>
      </c>
      <c r="AD135" s="5" t="s">
        <v>17</v>
      </c>
      <c r="AE135" s="7"/>
      <c r="AF135" s="6" t="s">
        <v>17</v>
      </c>
      <c r="AG135" s="4" t="s">
        <v>17</v>
      </c>
      <c r="AH135" s="4" t="s">
        <v>17</v>
      </c>
      <c r="AI135" s="4" t="s">
        <v>17</v>
      </c>
      <c r="AJ135" s="4" t="s">
        <v>17</v>
      </c>
      <c r="AK135" s="4" t="s">
        <v>17</v>
      </c>
      <c r="AL135" s="4" t="s">
        <v>17</v>
      </c>
      <c r="AM135" s="5" t="s">
        <v>17</v>
      </c>
      <c r="AN135" s="7"/>
      <c r="AO135" s="6" t="s">
        <v>13</v>
      </c>
      <c r="AP135" s="4" t="s">
        <v>13</v>
      </c>
      <c r="AQ135" s="4" t="s">
        <v>15</v>
      </c>
      <c r="AR135" s="5" t="s">
        <v>15</v>
      </c>
      <c r="AT135" s="4" t="s">
        <v>17</v>
      </c>
      <c r="AU135" s="4" t="str">
        <f t="shared" si="34"/>
        <v>N</v>
      </c>
      <c r="AV135" s="4" t="s">
        <v>3</v>
      </c>
      <c r="AW135" s="4" t="str">
        <f t="shared" si="35"/>
        <v>Não</v>
      </c>
      <c r="AX135" s="4" t="s">
        <v>3</v>
      </c>
      <c r="AY135" s="4" t="str">
        <f t="shared" si="36"/>
        <v>Não</v>
      </c>
      <c r="AZ135" s="4" t="s">
        <v>3</v>
      </c>
      <c r="BA135" s="4" t="str">
        <f t="shared" si="37"/>
        <v>Não</v>
      </c>
      <c r="BB135" s="4" t="s">
        <v>17</v>
      </c>
      <c r="BC135" s="4" t="str">
        <f t="shared" si="38"/>
        <v>N</v>
      </c>
      <c r="BD135" s="4" t="s">
        <v>17</v>
      </c>
      <c r="BE135" s="4" t="str">
        <f t="shared" si="39"/>
        <v>N</v>
      </c>
      <c r="BF135" s="4" t="s">
        <v>17</v>
      </c>
      <c r="BG135" s="4" t="str">
        <f t="shared" si="40"/>
        <v>N</v>
      </c>
      <c r="BH135" s="4" t="s">
        <v>3</v>
      </c>
      <c r="BI135" s="4" t="str">
        <f t="shared" si="41"/>
        <v>Não</v>
      </c>
      <c r="BJ135" s="4" t="s">
        <v>17</v>
      </c>
      <c r="BK135" s="4" t="str">
        <f t="shared" si="42"/>
        <v>N</v>
      </c>
      <c r="BL135" s="4" t="s">
        <v>17</v>
      </c>
      <c r="BM135" s="4" t="str">
        <f t="shared" si="43"/>
        <v>N</v>
      </c>
      <c r="BN135" s="4" t="s">
        <v>17</v>
      </c>
      <c r="BO135" s="4" t="str">
        <f t="shared" si="44"/>
        <v>N</v>
      </c>
      <c r="BP135" s="4" t="s">
        <v>3</v>
      </c>
      <c r="BQ135" s="4" t="str">
        <f t="shared" si="45"/>
        <v>Não</v>
      </c>
      <c r="BR135" s="4" t="s">
        <v>3</v>
      </c>
      <c r="BS135" s="4" t="str">
        <f t="shared" si="46"/>
        <v>Não</v>
      </c>
      <c r="BT135" s="4" t="s">
        <v>17</v>
      </c>
      <c r="BU135" s="4" t="str">
        <f t="shared" si="47"/>
        <v>N</v>
      </c>
      <c r="BV135" s="4" t="s">
        <v>17</v>
      </c>
      <c r="BW135" s="4" t="str">
        <f t="shared" si="48"/>
        <v>N</v>
      </c>
      <c r="BX135" s="4" t="s">
        <v>17</v>
      </c>
      <c r="BY135" s="4" t="str">
        <f t="shared" si="49"/>
        <v>N</v>
      </c>
      <c r="BZ135" s="4" t="s">
        <v>3</v>
      </c>
      <c r="CA135" s="4" t="str">
        <f t="shared" si="50"/>
        <v>N</v>
      </c>
    </row>
    <row r="136" spans="2:79" ht="17.25" customHeight="1">
      <c r="B136" s="51" t="s">
        <v>190</v>
      </c>
      <c r="C136" s="13" t="s">
        <v>57</v>
      </c>
      <c r="D136" s="54" t="s">
        <v>216</v>
      </c>
      <c r="E136" s="6" t="s">
        <v>17</v>
      </c>
      <c r="F136" s="4" t="s">
        <v>17</v>
      </c>
      <c r="G136" s="4" t="s">
        <v>17</v>
      </c>
      <c r="H136" s="4" t="s">
        <v>17</v>
      </c>
      <c r="I136" s="4" t="s">
        <v>17</v>
      </c>
      <c r="J136" s="4" t="s">
        <v>17</v>
      </c>
      <c r="K136" s="4" t="s">
        <v>17</v>
      </c>
      <c r="L136" s="5" t="s">
        <v>17</v>
      </c>
      <c r="M136" s="7"/>
      <c r="N136" s="6" t="s">
        <v>17</v>
      </c>
      <c r="O136" s="4" t="s">
        <v>17</v>
      </c>
      <c r="P136" s="4" t="s">
        <v>17</v>
      </c>
      <c r="Q136" s="4" t="s">
        <v>17</v>
      </c>
      <c r="R136" s="4" t="s">
        <v>17</v>
      </c>
      <c r="S136" s="4" t="s">
        <v>17</v>
      </c>
      <c r="T136" s="4" t="s">
        <v>17</v>
      </c>
      <c r="U136" s="5" t="s">
        <v>17</v>
      </c>
      <c r="V136" s="7"/>
      <c r="W136" s="6" t="s">
        <v>17</v>
      </c>
      <c r="X136" s="4" t="s">
        <v>17</v>
      </c>
      <c r="Y136" s="4" t="s">
        <v>17</v>
      </c>
      <c r="Z136" s="4" t="s">
        <v>17</v>
      </c>
      <c r="AA136" s="4" t="s">
        <v>17</v>
      </c>
      <c r="AB136" s="4" t="s">
        <v>17</v>
      </c>
      <c r="AC136" s="4" t="s">
        <v>17</v>
      </c>
      <c r="AD136" s="5" t="s">
        <v>17</v>
      </c>
      <c r="AE136" s="7"/>
      <c r="AF136" s="6" t="s">
        <v>3</v>
      </c>
      <c r="AG136" s="4">
        <v>1</v>
      </c>
      <c r="AH136" s="4" t="s">
        <v>3</v>
      </c>
      <c r="AI136" s="4">
        <v>1</v>
      </c>
      <c r="AJ136" s="4" t="s">
        <v>5</v>
      </c>
      <c r="AK136" s="4">
        <v>1</v>
      </c>
      <c r="AL136" s="4" t="s">
        <v>7</v>
      </c>
      <c r="AM136" s="5">
        <v>1</v>
      </c>
      <c r="AN136" s="7"/>
      <c r="AO136" s="6" t="s">
        <v>15</v>
      </c>
      <c r="AP136" s="4" t="s">
        <v>15</v>
      </c>
      <c r="AQ136" s="4" t="s">
        <v>15</v>
      </c>
      <c r="AR136" s="5" t="s">
        <v>13</v>
      </c>
      <c r="AT136" s="4" t="s">
        <v>17</v>
      </c>
      <c r="AU136" s="4" t="str">
        <f t="shared" ref="AU136" si="51">IF($P136="N", "N",
    IF($B136="Não", "Sim",
        IF(OR(
            AT136=$P136,
            AND($P136="B", OR(AT136="B", AT136="P", AT136="O")),
            AND($P136="P", OR(AT136="P", AT136="O")),
            AND($P136="O", AT136="O")), "Sim", "Não")
    )
)</f>
        <v>N</v>
      </c>
      <c r="AV136" s="4" t="s">
        <v>17</v>
      </c>
      <c r="AW136" s="4" t="str">
        <f t="shared" ref="AW136" si="52">IF($I136="N", "N",
    IF($B136="Não", "Sim",
        IF(OR(
            AV136=$I136,
            AND($I136="B", OR(AV136="B", AV136="P", AV136="O")),
            AND($I136="P", OR(AV136="P", AV136="O")),
            AND($I136="O", AV136="O")), "Sim", "Não")
    )
)</f>
        <v>N</v>
      </c>
      <c r="AX136" s="4" t="s">
        <v>17</v>
      </c>
      <c r="AY136" s="4" t="str">
        <f t="shared" ref="AY136" si="53">IF($R136="N", "N",
    IF($B136="Não", "Sim",
        IF(OR(
            AX136=$R136,
            AND($R136="B", OR(AX136="B", AX136="P", AX136="O")),
            AND($R136="P", OR(AX136="P", AX136="O")),
            AND($R136="O", AX136="O")), "Sim", "Não")
    )
)</f>
        <v>N</v>
      </c>
      <c r="AZ136" s="4" t="s">
        <v>17</v>
      </c>
      <c r="BA136" s="4" t="str">
        <f t="shared" ref="BA136" si="54">IF($I136="N", "N",
    IF($B136="Não", "Sim",
        IF(OR(
            AZ136=$I136,
            AND($I136="B", OR(AZ136="B", AZ136="P", AZ136="O")),
            AND($I136="P", OR(AZ136="P", AZ136="O")),
            AND($I136="O", AZ136="O")), "Sim", "Não")
    )
)</f>
        <v>N</v>
      </c>
      <c r="BB136" s="4" t="s">
        <v>3</v>
      </c>
      <c r="BC136" s="4" t="str">
        <f t="shared" ref="BC136" si="55">IF($AJ136="N", "N",
    IF($B136="Não", "Sim",
        IF(OR(
            BB136=$AJ136,
            AND($AJ136="B", OR(BB136="B", BB136="P", BB136="O")),
            AND($AJ136="P", OR(BB136="P", BB136="O")),
            AND($AJ136="O", BB136="O")), "Sim", "Não")
    )
)</f>
        <v>Não</v>
      </c>
      <c r="BD136" s="4" t="s">
        <v>17</v>
      </c>
      <c r="BE136" s="4" t="str">
        <f t="shared" ref="BE136" si="56">IF($AC136="N", "N",
    IF($B136="Não", "Sim",
        IF(OR(
            BD136=$AC136,
            AND($AC136="B", OR(BD136="B", BD136="P", BD136="O")),
            AND($AC136="P", OR(BD136="P", BD136="O")),
            AND($AC136="O", BD136="O")), "Sim", "Não")
    )
)</f>
        <v>N</v>
      </c>
      <c r="BF136" s="4" t="s">
        <v>17</v>
      </c>
      <c r="BG136" s="4" t="str">
        <f t="shared" ref="BG136" si="57">IF($Y136="N", "N",
    IF($B136="Não", "Sim",
        IF(OR(
            BF136=$Y136,
            AND($Y136="B", OR(BF136="B", BF136="P", BF136="O")),
            AND($Y136="P", OR(BF136="P", BF136="O")),
            AND($Y136="O", BF136="O")), "Sim", "Não")
    )
)</f>
        <v>N</v>
      </c>
      <c r="BH136" s="4" t="s">
        <v>17</v>
      </c>
      <c r="BI136" s="4" t="str">
        <f t="shared" ref="BI136" si="58">IF($K136="N", "N",
    IF($B136="Não", "Sim",
        IF(OR(
            BH136=$K136,
            AND($K136="B", OR(BH136="B", BH136="P", BH136="O")),
            AND($K136="P", OR(BH136="P", BH136="O")),
            AND($K136="O", BH136="O")), "Sim", "Não")
    )
)</f>
        <v>N</v>
      </c>
      <c r="BJ136" s="4" t="s">
        <v>17</v>
      </c>
      <c r="BK136" s="4" t="str">
        <f t="shared" ref="BK136" si="59">IF($Y136="N", "N",
    IF($B136="Não", "Sim",
        IF(OR(
            BJ136=$Y136,
            AND($Y136="B", OR(BJ136="B", BJ136="P", BJ136="O")),
            AND($Y136="P", OR(BJ136="P", BJ136="O")),
            AND($Y136="O", BJ136="O")), "Sim", "Não")
    )
)</f>
        <v>N</v>
      </c>
      <c r="BL136" s="4" t="s">
        <v>17</v>
      </c>
      <c r="BM136" s="4" t="str">
        <f t="shared" ref="BM136" si="60">IF($Y136="N", "N",
    IF($B136="Não", "Sim",
        IF(OR(
            BL136=$Y136,
            AND($Y136="B", OR(BL136="B", BL136="P", BL136="O")),
            AND($Y136="P", OR(BL136="P", BL136="O")),
            AND($Y136="O", BL136="O")), "Sim", "Não")
    )
)</f>
        <v>N</v>
      </c>
      <c r="BN136" s="4" t="s">
        <v>3</v>
      </c>
      <c r="BO136" s="4" t="str">
        <f t="shared" ref="BO136" si="61">IF($AJ136="N", "N",
    IF($B136="Não", "Sim",
        IF(OR(
            BN136=$AJ136,
            AND($AJ136="B", OR(BN136="B", BN136="P", BN136="O")),
            AND($AJ136="P", OR(BN136="P", BN136="O")),
            AND($AJ136="O", BN136="O")), "Sim", "Não")
    )
)</f>
        <v>Não</v>
      </c>
      <c r="BP136" s="4" t="s">
        <v>17</v>
      </c>
      <c r="BQ136" s="4" t="str">
        <f t="shared" ref="BQ136" si="62">IF($T136="N", "N",
    IF($B136="Não", "Sim",
        IF(OR(
            BP136=$T136,
            AND($T136="B", OR(BP136="B", BP136="P", BP136="O")),
            AND($T136="P", OR(BP136="P", BP136="O")),
            AND($T136="O", BP136="O")), "Sim", "Não")
    )
)</f>
        <v>N</v>
      </c>
      <c r="BR136" s="4" t="s">
        <v>17</v>
      </c>
      <c r="BS136" s="4" t="str">
        <f t="shared" ref="BS136" si="63">IF($I136="N", "N",
    IF($B136="Não", "Sim",
        IF(OR(
            BR136=$I136,
            AND($I136="B", OR(BR136="B", BR136="P", BR136="O")),
            AND($I136="P", OR(BR136="P", BR136="O")),
            AND($I136="O", BR136="O")), "Sim", "Não")
    )
)</f>
        <v>N</v>
      </c>
      <c r="BT136" s="4" t="s">
        <v>17</v>
      </c>
      <c r="BU136" s="4" t="str">
        <f t="shared" ref="BU136" si="64">IF($G136="N", "N",
    IF($B136="Não", "Sim",
        IF(OR(
            BT136=$G136,
            AND($G136="B", OR(BT136="B", BT136="P", BT136="O")),
            AND($G136="P", OR(BT136="P", BT136="O")),
            AND($G136="O", BT136="O")), "Sim", "Não")
    )
)</f>
        <v>N</v>
      </c>
      <c r="BV136" s="4" t="s">
        <v>17</v>
      </c>
      <c r="BW136" s="4" t="str">
        <f t="shared" ref="BW136" si="65">IF($G136="N", "N",
    IF($B136="Não", "Sim",
        IF(OR(
            BV136=$G136,
            AND($G136="B", OR(BV136="B", BV136="P", BV136="O")),
            AND($G136="P", OR(BV136="P", BV136="O")),
            AND($G136="O", BV136="O")), "Sim", "Não")
    )
)</f>
        <v>N</v>
      </c>
      <c r="BX136" s="4" t="s">
        <v>17</v>
      </c>
      <c r="BY136" s="4" t="str">
        <f t="shared" ref="BY136" si="66">IF($P136="N", "N",
    IF($B136="Não", "Sim",
        IF(OR(
            BX136=$P136,
            AND($P136="B", OR(BX136="B", BX136="P", BX136="O")),
            AND($P136="P", OR(BX136="P", BX136="O")),
            AND($P136="O", BX136="O")), "Sim", "Não")
    )
)</f>
        <v>N</v>
      </c>
      <c r="BZ136" s="4" t="s">
        <v>17</v>
      </c>
      <c r="CA136" s="4" t="str">
        <f t="shared" ref="CA136" si="67">IF($G136="N", "N",
    IF($B136="Não", "Sim",
        IF(OR(
            BZ136=$G136,
            AND($G136="B", OR(BZ136="B", BZ136="P", BZ136="O")),
            AND($G136="P", OR(BZ136="P", BZ136="O")),
            AND($G136="O", BZ136="O")), "Sim", "Não")
    )
)</f>
        <v>N</v>
      </c>
    </row>
    <row r="137" spans="2:79" ht="17.25" customHeight="1" thickBot="1">
      <c r="B137" s="61" t="s">
        <v>190</v>
      </c>
      <c r="C137" s="62" t="s">
        <v>156</v>
      </c>
      <c r="D137" s="63" t="s">
        <v>217</v>
      </c>
      <c r="E137" s="47" t="s">
        <v>17</v>
      </c>
      <c r="F137" s="48" t="s">
        <v>17</v>
      </c>
      <c r="G137" s="48" t="s">
        <v>17</v>
      </c>
      <c r="H137" s="48" t="s">
        <v>17</v>
      </c>
      <c r="I137" s="48" t="s">
        <v>17</v>
      </c>
      <c r="J137" s="48" t="s">
        <v>17</v>
      </c>
      <c r="K137" s="48" t="s">
        <v>17</v>
      </c>
      <c r="L137" s="49" t="s">
        <v>17</v>
      </c>
      <c r="M137" s="50"/>
      <c r="N137" s="47" t="s">
        <v>17</v>
      </c>
      <c r="O137" s="48" t="s">
        <v>17</v>
      </c>
      <c r="P137" s="48" t="s">
        <v>3</v>
      </c>
      <c r="Q137" s="48">
        <v>1</v>
      </c>
      <c r="R137" s="48" t="s">
        <v>5</v>
      </c>
      <c r="S137" s="48">
        <v>1</v>
      </c>
      <c r="T137" s="48" t="s">
        <v>7</v>
      </c>
      <c r="U137" s="49">
        <v>1</v>
      </c>
      <c r="V137" s="50"/>
      <c r="W137" s="47" t="s">
        <v>17</v>
      </c>
      <c r="X137" s="48" t="s">
        <v>17</v>
      </c>
      <c r="Y137" s="48" t="s">
        <v>17</v>
      </c>
      <c r="Z137" s="48" t="s">
        <v>17</v>
      </c>
      <c r="AA137" s="48" t="s">
        <v>17</v>
      </c>
      <c r="AB137" s="48" t="s">
        <v>17</v>
      </c>
      <c r="AC137" s="48" t="s">
        <v>17</v>
      </c>
      <c r="AD137" s="49" t="s">
        <v>17</v>
      </c>
      <c r="AE137" s="50"/>
      <c r="AF137" s="47" t="s">
        <v>17</v>
      </c>
      <c r="AG137" s="48" t="s">
        <v>17</v>
      </c>
      <c r="AH137" s="48" t="s">
        <v>17</v>
      </c>
      <c r="AI137" s="48" t="s">
        <v>17</v>
      </c>
      <c r="AJ137" s="48" t="s">
        <v>17</v>
      </c>
      <c r="AK137" s="48" t="s">
        <v>17</v>
      </c>
      <c r="AL137" s="48" t="s">
        <v>17</v>
      </c>
      <c r="AM137" s="49" t="s">
        <v>17</v>
      </c>
      <c r="AN137" s="50"/>
      <c r="AO137" s="47" t="s">
        <v>15</v>
      </c>
      <c r="AP137" s="48" t="s">
        <v>13</v>
      </c>
      <c r="AQ137" s="48" t="s">
        <v>15</v>
      </c>
      <c r="AR137" s="49" t="s">
        <v>15</v>
      </c>
      <c r="AT137" s="4" t="s">
        <v>1</v>
      </c>
      <c r="AU137" s="4" t="str">
        <f t="shared" si="34"/>
        <v>Não</v>
      </c>
      <c r="AV137" s="4" t="s">
        <v>17</v>
      </c>
      <c r="AW137" s="4" t="str">
        <f t="shared" si="35"/>
        <v>N</v>
      </c>
      <c r="AX137" s="4" t="s">
        <v>3</v>
      </c>
      <c r="AY137" s="4" t="str">
        <f t="shared" si="36"/>
        <v>Não</v>
      </c>
      <c r="AZ137" s="4" t="s">
        <v>17</v>
      </c>
      <c r="BA137" s="4" t="str">
        <f t="shared" si="37"/>
        <v>N</v>
      </c>
      <c r="BB137" s="4" t="s">
        <v>17</v>
      </c>
      <c r="BC137" s="4" t="str">
        <f t="shared" si="38"/>
        <v>N</v>
      </c>
      <c r="BD137" s="4" t="s">
        <v>17</v>
      </c>
      <c r="BE137" s="4" t="str">
        <f t="shared" si="39"/>
        <v>N</v>
      </c>
      <c r="BF137" s="4" t="s">
        <v>17</v>
      </c>
      <c r="BG137" s="4" t="str">
        <f t="shared" si="40"/>
        <v>N</v>
      </c>
      <c r="BH137" s="4" t="s">
        <v>17</v>
      </c>
      <c r="BI137" s="4" t="str">
        <f t="shared" si="41"/>
        <v>N</v>
      </c>
      <c r="BJ137" s="4" t="s">
        <v>17</v>
      </c>
      <c r="BK137" s="4" t="str">
        <f t="shared" si="42"/>
        <v>N</v>
      </c>
      <c r="BL137" s="4" t="s">
        <v>17</v>
      </c>
      <c r="BM137" s="4" t="str">
        <f t="shared" si="43"/>
        <v>N</v>
      </c>
      <c r="BN137" s="4" t="s">
        <v>17</v>
      </c>
      <c r="BO137" s="4" t="str">
        <f t="shared" si="44"/>
        <v>N</v>
      </c>
      <c r="BP137" s="4" t="s">
        <v>5</v>
      </c>
      <c r="BQ137" s="4" t="str">
        <f t="shared" si="45"/>
        <v>Não</v>
      </c>
      <c r="BR137" s="4" t="s">
        <v>17</v>
      </c>
      <c r="BS137" s="4" t="str">
        <f t="shared" si="46"/>
        <v>N</v>
      </c>
      <c r="BT137" s="4" t="s">
        <v>17</v>
      </c>
      <c r="BU137" s="4" t="str">
        <f t="shared" si="47"/>
        <v>N</v>
      </c>
      <c r="BV137" s="4" t="s">
        <v>17</v>
      </c>
      <c r="BW137" s="4" t="str">
        <f t="shared" si="48"/>
        <v>N</v>
      </c>
      <c r="BX137" s="4" t="s">
        <v>1</v>
      </c>
      <c r="BY137" s="4" t="str">
        <f t="shared" si="49"/>
        <v>Não</v>
      </c>
      <c r="BZ137" s="4" t="s">
        <v>17</v>
      </c>
      <c r="CA137" s="4" t="str">
        <f t="shared" si="50"/>
        <v>N</v>
      </c>
    </row>
    <row r="138" spans="2:79" s="64" customFormat="1" ht="14.25" customHeight="1">
      <c r="D138" s="115" t="s">
        <v>218</v>
      </c>
      <c r="E138" s="111">
        <f>COUNTIFS(E5:E137, "B") + COUNTIFS(E5:E137, "P") + COUNTIFS(E5:E137, "O")</f>
        <v>71</v>
      </c>
      <c r="F138" s="109">
        <f>SUM(F112:F137)</f>
        <v>8</v>
      </c>
      <c r="G138" s="111">
        <f>COUNTIFS(G5:G137, "B") + COUNTIFS(G5:G137, "P") + COUNTIFS(G5:G137, "O")</f>
        <v>77</v>
      </c>
      <c r="H138" s="109">
        <f>SUM(H112:H137)</f>
        <v>12</v>
      </c>
      <c r="I138" s="111">
        <f>COUNTIFS(I5:I137, "B") + COUNTIFS(I5:I137, "P") + COUNTIFS(I5:I137, "O")</f>
        <v>84</v>
      </c>
      <c r="J138" s="109">
        <f>SUM(J112:J137)</f>
        <v>13</v>
      </c>
      <c r="K138" s="111">
        <f>COUNTIFS(K5:K137, "B") + COUNTIFS(K5:K137, "P") + COUNTIFS(K5:K137, "O")</f>
        <v>85</v>
      </c>
      <c r="L138" s="109">
        <f>SUM(L112:L137)</f>
        <v>13</v>
      </c>
      <c r="M138" s="75"/>
      <c r="N138" s="111">
        <f>COUNTIFS(N5:N137, "B") + COUNTIFS(N5:N137, "P") + COUNTIFS(N5:N137, "O")</f>
        <v>70</v>
      </c>
      <c r="O138" s="109">
        <f>SUM(O112:O137)</f>
        <v>4</v>
      </c>
      <c r="P138" s="111">
        <f>COUNTIFS(P5:P137, "B") + COUNTIFS(P5:P137, "P") + COUNTIFS(P5:P137, "O")</f>
        <v>72</v>
      </c>
      <c r="Q138" s="109">
        <f>SUM(Q112:Q137)</f>
        <v>6</v>
      </c>
      <c r="R138" s="111">
        <f>COUNTIFS(R5:R137, "B") + COUNTIFS(R5:R137, "P") + COUNTIFS(R5:R137, "O")</f>
        <v>82</v>
      </c>
      <c r="S138" s="109">
        <f>SUM(S112:S137)</f>
        <v>7</v>
      </c>
      <c r="T138" s="111">
        <f>COUNTIFS(T5:T137, "B") + COUNTIFS(T5:T137, "P") + COUNTIFS(T5:T137, "O")</f>
        <v>83</v>
      </c>
      <c r="U138" s="109">
        <f>SUM(U112:U137)</f>
        <v>7</v>
      </c>
      <c r="V138" s="75"/>
      <c r="W138" s="111">
        <f>COUNTIFS(W5:W137, "B") + COUNTIFS(W5:W137, "P") + COUNTIFS(W5:W137, "O")</f>
        <v>66</v>
      </c>
      <c r="X138" s="109">
        <f>SUM(X112:X137)</f>
        <v>9</v>
      </c>
      <c r="Y138" s="111">
        <f>COUNTIFS(Y5:Y137, "B") + COUNTIFS(Y5:Y137, "P") + COUNTIFS(Y5:Y137, "O")</f>
        <v>73</v>
      </c>
      <c r="Z138" s="109">
        <f>SUM(Z112:Z137)</f>
        <v>11</v>
      </c>
      <c r="AA138" s="111">
        <f>COUNTIFS(AA5:AA137, "B") + COUNTIFS(AA5:AA137, "P") + COUNTIFS(AA5:AA137, "O")</f>
        <v>79</v>
      </c>
      <c r="AB138" s="109">
        <f>SUM(AB112:AB137)</f>
        <v>11</v>
      </c>
      <c r="AC138" s="111">
        <f>COUNTIFS(AC5:AC137, "B") + COUNTIFS(AC5:AC137, "P") + COUNTIFS(AC5:AC137, "O")</f>
        <v>79</v>
      </c>
      <c r="AD138" s="109">
        <f>SUM(AD112:AD137)</f>
        <v>11</v>
      </c>
      <c r="AE138" s="75"/>
      <c r="AF138" s="111">
        <f>COUNTIFS(AF5:AF137, "B") + COUNTIFS(AF5:AF137, "P") + COUNTIFS(AF5:AF137, "O")</f>
        <v>57</v>
      </c>
      <c r="AG138" s="109">
        <f>SUM(AG112:AG137)</f>
        <v>2</v>
      </c>
      <c r="AH138" s="111">
        <f>COUNTIFS(AH5:AH137, "B") + COUNTIFS(AH5:AH137, "P") + COUNTIFS(AH5:AH137, "O")</f>
        <v>61</v>
      </c>
      <c r="AI138" s="109">
        <f>SUM(AI112:AI137)</f>
        <v>4</v>
      </c>
      <c r="AJ138" s="111">
        <f>COUNTIFS(AJ5:AJ137, "B") + COUNTIFS(AJ5:AJ137, "P") + COUNTIFS(AJ5:AJ137, "O")</f>
        <v>74</v>
      </c>
      <c r="AK138" s="109">
        <f>SUM(AK112:AK137)</f>
        <v>5</v>
      </c>
      <c r="AL138" s="111">
        <f>COUNTIFS(AL5:AL137, "B") + COUNTIFS(AL5:AL137, "P") + COUNTIFS(AL5:AL137, "O")</f>
        <v>75</v>
      </c>
      <c r="AM138" s="109">
        <f>SUM(AM112:AM137)</f>
        <v>5</v>
      </c>
      <c r="AO138" s="113" t="s">
        <v>219</v>
      </c>
      <c r="AP138" s="113"/>
      <c r="AQ138" s="113"/>
      <c r="AR138" s="113"/>
      <c r="AT138" s="114">
        <f>COUNTIFS(AU5:AU137, "Não")</f>
        <v>3</v>
      </c>
      <c r="AU138" s="114"/>
      <c r="AV138" s="114">
        <f>COUNTIFS(AW5:AW137, "Não")</f>
        <v>7</v>
      </c>
      <c r="AW138" s="114"/>
      <c r="AX138" s="114">
        <f>COUNTIFS(AY5:AY137, "Não")</f>
        <v>7</v>
      </c>
      <c r="AY138" s="114"/>
      <c r="AZ138" s="114">
        <f>COUNTIFS(BA5:BA137, "Não")</f>
        <v>11</v>
      </c>
      <c r="BA138" s="114"/>
      <c r="BB138" s="114">
        <f>COUNTIFS(BC5:BC137, "Não")</f>
        <v>3</v>
      </c>
      <c r="BC138" s="114"/>
      <c r="BD138" s="114">
        <f>COUNTIFS(BE5:BE137, "Não")</f>
        <v>4</v>
      </c>
      <c r="BE138" s="114"/>
      <c r="BF138" s="114">
        <f>COUNTIFS(BG5:BG137, "Não")</f>
        <v>4</v>
      </c>
      <c r="BG138" s="114"/>
      <c r="BH138" s="114">
        <f>COUNTIFS(BI5:BI137, "Não")</f>
        <v>10</v>
      </c>
      <c r="BI138" s="114"/>
      <c r="BJ138" s="114">
        <f>COUNTIFS(BK5:BK137, "Não")</f>
        <v>3</v>
      </c>
      <c r="BK138" s="114"/>
      <c r="BL138" s="114">
        <f>COUNTIFS(BM5:BM137, "Não")</f>
        <v>3</v>
      </c>
      <c r="BM138" s="114"/>
      <c r="BN138" s="114">
        <f>COUNTIFS(BO5:BO137, "Não")</f>
        <v>5</v>
      </c>
      <c r="BO138" s="114"/>
      <c r="BP138" s="114">
        <f>COUNTIFS(BQ5:BQ137, "Não")</f>
        <v>5</v>
      </c>
      <c r="BQ138" s="114"/>
      <c r="BR138" s="114">
        <f>COUNTIFS(BS5:BS137, "Não")</f>
        <v>5</v>
      </c>
      <c r="BS138" s="114"/>
      <c r="BT138" s="114">
        <f>COUNTIFS(BU5:BU137, "Não")</f>
        <v>5</v>
      </c>
      <c r="BU138" s="114"/>
      <c r="BV138" s="114">
        <f>COUNTIFS(BW5:BW137, "Não")</f>
        <v>6</v>
      </c>
      <c r="BW138" s="114"/>
      <c r="BX138" s="114">
        <f>COUNTIFS(BY5:BY137, "Não")</f>
        <v>4</v>
      </c>
      <c r="BY138" s="114"/>
      <c r="BZ138" s="114">
        <f>COUNTIFS(CA5:CA137, "Não")</f>
        <v>4</v>
      </c>
      <c r="CA138" s="114"/>
    </row>
    <row r="139" spans="2:79" s="65" customFormat="1" ht="14.25" customHeight="1">
      <c r="D139" s="116"/>
      <c r="E139" s="112"/>
      <c r="F139" s="110"/>
      <c r="G139" s="112"/>
      <c r="H139" s="110"/>
      <c r="I139" s="112"/>
      <c r="J139" s="110"/>
      <c r="K139" s="112"/>
      <c r="L139" s="110"/>
      <c r="M139" s="76"/>
      <c r="N139" s="112"/>
      <c r="O139" s="110"/>
      <c r="P139" s="112"/>
      <c r="Q139" s="110"/>
      <c r="R139" s="112"/>
      <c r="S139" s="110"/>
      <c r="T139" s="112"/>
      <c r="U139" s="110"/>
      <c r="V139" s="76"/>
      <c r="W139" s="112"/>
      <c r="X139" s="110"/>
      <c r="Y139" s="112"/>
      <c r="Z139" s="110"/>
      <c r="AA139" s="112"/>
      <c r="AB139" s="110"/>
      <c r="AC139" s="112"/>
      <c r="AD139" s="110"/>
      <c r="AE139" s="76"/>
      <c r="AF139" s="112"/>
      <c r="AG139" s="110"/>
      <c r="AH139" s="112"/>
      <c r="AI139" s="110"/>
      <c r="AJ139" s="112"/>
      <c r="AK139" s="110"/>
      <c r="AL139" s="112"/>
      <c r="AM139" s="110"/>
      <c r="AO139" s="114"/>
      <c r="AP139" s="114"/>
      <c r="AQ139" s="114"/>
      <c r="AR139" s="114"/>
      <c r="AT139" s="114"/>
      <c r="AU139" s="114"/>
      <c r="AV139" s="114"/>
      <c r="AW139" s="114"/>
      <c r="AX139" s="114"/>
      <c r="AY139" s="114"/>
      <c r="AZ139" s="114"/>
      <c r="BA139" s="114"/>
      <c r="BB139" s="114"/>
      <c r="BC139" s="114"/>
      <c r="BD139" s="114"/>
      <c r="BE139" s="114"/>
      <c r="BF139" s="114"/>
      <c r="BG139" s="114"/>
      <c r="BH139" s="114"/>
      <c r="BI139" s="114"/>
      <c r="BJ139" s="114"/>
      <c r="BK139" s="114"/>
      <c r="BL139" s="114"/>
      <c r="BM139" s="114"/>
      <c r="BN139" s="114"/>
      <c r="BO139" s="114"/>
      <c r="BP139" s="114"/>
      <c r="BQ139" s="114"/>
      <c r="BR139" s="114"/>
      <c r="BS139" s="114"/>
      <c r="BT139" s="114"/>
      <c r="BU139" s="114"/>
      <c r="BV139" s="114"/>
      <c r="BW139" s="114"/>
      <c r="BX139" s="114"/>
      <c r="BY139" s="114"/>
      <c r="BZ139" s="114"/>
      <c r="CA139" s="114"/>
    </row>
  </sheetData>
  <mergeCells count="140">
    <mergeCell ref="D2:D4"/>
    <mergeCell ref="C2:C4"/>
    <mergeCell ref="B2:B4"/>
    <mergeCell ref="BP3:BQ3"/>
    <mergeCell ref="BN3:BO3"/>
    <mergeCell ref="BL3:BM3"/>
    <mergeCell ref="BJ3:BK3"/>
    <mergeCell ref="AX3:AY3"/>
    <mergeCell ref="AZ3:BA3"/>
    <mergeCell ref="BB3:BC3"/>
    <mergeCell ref="BD3:BE3"/>
    <mergeCell ref="AT3:AU3"/>
    <mergeCell ref="AV3:AW3"/>
    <mergeCell ref="AH3:AH4"/>
    <mergeCell ref="Z3:Z4"/>
    <mergeCell ref="AA3:AA4"/>
    <mergeCell ref="AO2:AO4"/>
    <mergeCell ref="AP2:AP4"/>
    <mergeCell ref="AH2:AI2"/>
    <mergeCell ref="AM3:AM4"/>
    <mergeCell ref="AL2:AM2"/>
    <mergeCell ref="AB3:AB4"/>
    <mergeCell ref="AC2:AD2"/>
    <mergeCell ref="AC3:AC4"/>
    <mergeCell ref="BZ2:CA2"/>
    <mergeCell ref="BZ3:CA3"/>
    <mergeCell ref="O3:O4"/>
    <mergeCell ref="U3:U4"/>
    <mergeCell ref="W3:W4"/>
    <mergeCell ref="X3:X4"/>
    <mergeCell ref="Y3:Y4"/>
    <mergeCell ref="AQ2:AQ4"/>
    <mergeCell ref="AR2:AR4"/>
    <mergeCell ref="AV2:AW2"/>
    <mergeCell ref="AT2:AU2"/>
    <mergeCell ref="AI3:AI4"/>
    <mergeCell ref="AJ3:AJ4"/>
    <mergeCell ref="AK3:AK4"/>
    <mergeCell ref="AL3:AL4"/>
    <mergeCell ref="R3:R4"/>
    <mergeCell ref="S3:S4"/>
    <mergeCell ref="T3:T4"/>
    <mergeCell ref="AJ2:AK2"/>
    <mergeCell ref="R2:S2"/>
    <mergeCell ref="T2:U2"/>
    <mergeCell ref="W2:X2"/>
    <mergeCell ref="Y2:Z2"/>
    <mergeCell ref="AA2:AB2"/>
    <mergeCell ref="AD3:AD4"/>
    <mergeCell ref="AF3:AF4"/>
    <mergeCell ref="AG3:AG4"/>
    <mergeCell ref="AF2:AG2"/>
    <mergeCell ref="P3:P4"/>
    <mergeCell ref="P2:Q2"/>
    <mergeCell ref="E3:E4"/>
    <mergeCell ref="F3:F4"/>
    <mergeCell ref="G3:G4"/>
    <mergeCell ref="H3:H4"/>
    <mergeCell ref="I3:I4"/>
    <mergeCell ref="E2:F2"/>
    <mergeCell ref="G2:H2"/>
    <mergeCell ref="I2:J2"/>
    <mergeCell ref="K2:L2"/>
    <mergeCell ref="N2:O2"/>
    <mergeCell ref="J3:J4"/>
    <mergeCell ref="K3:K4"/>
    <mergeCell ref="L3:L4"/>
    <mergeCell ref="N3:N4"/>
    <mergeCell ref="Q3:Q4"/>
    <mergeCell ref="BX3:BY3"/>
    <mergeCell ref="BV3:BW3"/>
    <mergeCell ref="BT3:BU3"/>
    <mergeCell ref="BR3:BS3"/>
    <mergeCell ref="BD2:BE2"/>
    <mergeCell ref="BB2:BC2"/>
    <mergeCell ref="AZ2:BA2"/>
    <mergeCell ref="AX2:AY2"/>
    <mergeCell ref="BX2:BY2"/>
    <mergeCell ref="BV2:BW2"/>
    <mergeCell ref="BT2:BU2"/>
    <mergeCell ref="BR2:BS2"/>
    <mergeCell ref="BP2:BQ2"/>
    <mergeCell ref="BN2:BO2"/>
    <mergeCell ref="BL2:BM2"/>
    <mergeCell ref="BJ2:BK2"/>
    <mergeCell ref="BH2:BI2"/>
    <mergeCell ref="BF2:BG2"/>
    <mergeCell ref="BH138:BI139"/>
    <mergeCell ref="BJ138:BK139"/>
    <mergeCell ref="BL138:BM139"/>
    <mergeCell ref="BN138:BO139"/>
    <mergeCell ref="BP138:BQ139"/>
    <mergeCell ref="BR138:BS139"/>
    <mergeCell ref="BT138:BU139"/>
    <mergeCell ref="BV138:BW139"/>
    <mergeCell ref="BF3:BG3"/>
    <mergeCell ref="BH3:BI3"/>
    <mergeCell ref="AO138:AR139"/>
    <mergeCell ref="AM138:AM139"/>
    <mergeCell ref="BX138:BY139"/>
    <mergeCell ref="BZ138:CA139"/>
    <mergeCell ref="E138:E139"/>
    <mergeCell ref="D138:D139"/>
    <mergeCell ref="G138:G139"/>
    <mergeCell ref="I138:I139"/>
    <mergeCell ref="K138:K139"/>
    <mergeCell ref="N138:N139"/>
    <mergeCell ref="P138:P139"/>
    <mergeCell ref="R138:R139"/>
    <mergeCell ref="T138:T139"/>
    <mergeCell ref="W138:W139"/>
    <mergeCell ref="Y138:Y139"/>
    <mergeCell ref="AA138:AA139"/>
    <mergeCell ref="AC138:AC139"/>
    <mergeCell ref="AT138:AU139"/>
    <mergeCell ref="AV138:AW139"/>
    <mergeCell ref="AX138:AY139"/>
    <mergeCell ref="AZ138:BA139"/>
    <mergeCell ref="BB138:BC139"/>
    <mergeCell ref="BD138:BE139"/>
    <mergeCell ref="BF138:BG139"/>
    <mergeCell ref="F138:F139"/>
    <mergeCell ref="H138:H139"/>
    <mergeCell ref="J138:J139"/>
    <mergeCell ref="L138:L139"/>
    <mergeCell ref="O138:O139"/>
    <mergeCell ref="AF138:AF139"/>
    <mergeCell ref="AH138:AH139"/>
    <mergeCell ref="AJ138:AJ139"/>
    <mergeCell ref="AL138:AL139"/>
    <mergeCell ref="AB138:AB139"/>
    <mergeCell ref="AD138:AD139"/>
    <mergeCell ref="AG138:AG139"/>
    <mergeCell ref="AI138:AI139"/>
    <mergeCell ref="AK138:AK139"/>
    <mergeCell ref="Q138:Q139"/>
    <mergeCell ref="S138:S139"/>
    <mergeCell ref="U138:U139"/>
    <mergeCell ref="X138:X139"/>
    <mergeCell ref="Z138:Z139"/>
  </mergeCells>
  <conditionalFormatting sqref="AP13:AR13 AO5:AR5 E5:AN137">
    <cfRule type="cellIs" dxfId="51" priority="125" operator="equal">
      <formula>"O"</formula>
    </cfRule>
  </conditionalFormatting>
  <conditionalFormatting sqref="AP13:AR13 E5:AN137">
    <cfRule type="cellIs" dxfId="50" priority="120" operator="equal">
      <formula>"N"</formula>
    </cfRule>
    <cfRule type="cellIs" dxfId="49" priority="121" operator="equal">
      <formula>1</formula>
    </cfRule>
    <cfRule type="cellIs" dxfId="48" priority="122" operator="equal">
      <formula>0</formula>
    </cfRule>
    <cfRule type="cellIs" dxfId="47" priority="123" operator="equal">
      <formula>"B"</formula>
    </cfRule>
    <cfRule type="cellIs" dxfId="46" priority="124" operator="equal">
      <formula>"P"</formula>
    </cfRule>
  </conditionalFormatting>
  <conditionalFormatting sqref="AO5:AR5 AP13:AR13 E5:AN137">
    <cfRule type="cellIs" dxfId="45" priority="15" operator="equal">
      <formula>"D"</formula>
    </cfRule>
  </conditionalFormatting>
  <conditionalFormatting sqref="AO5:AR12">
    <cfRule type="cellIs" dxfId="44" priority="78" operator="equal">
      <formula>"N"</formula>
    </cfRule>
    <cfRule type="cellIs" dxfId="43" priority="79" operator="equal">
      <formula>1</formula>
    </cfRule>
    <cfRule type="cellIs" dxfId="42" priority="80" operator="equal">
      <formula>0</formula>
    </cfRule>
    <cfRule type="cellIs" dxfId="41" priority="81" operator="equal">
      <formula>"B"</formula>
    </cfRule>
    <cfRule type="cellIs" dxfId="40" priority="82" operator="equal">
      <formula>"P"</formula>
    </cfRule>
  </conditionalFormatting>
  <conditionalFormatting sqref="AO5:AR137">
    <cfRule type="cellIs" dxfId="39" priority="16" operator="equal">
      <formula>"I"</formula>
    </cfRule>
    <cfRule type="cellIs" dxfId="38" priority="17" operator="equal">
      <formula>"A"</formula>
    </cfRule>
  </conditionalFormatting>
  <conditionalFormatting sqref="AO6:AR12">
    <cfRule type="cellIs" dxfId="37" priority="83" operator="equal">
      <formula>"B"</formula>
    </cfRule>
  </conditionalFormatting>
  <conditionalFormatting sqref="AO14:AR16">
    <cfRule type="cellIs" dxfId="36" priority="60" operator="equal">
      <formula>"N"</formula>
    </cfRule>
    <cfRule type="cellIs" dxfId="35" priority="61" operator="equal">
      <formula>1</formula>
    </cfRule>
    <cfRule type="cellIs" dxfId="34" priority="62" operator="equal">
      <formula>0</formula>
    </cfRule>
    <cfRule type="cellIs" dxfId="33" priority="63" operator="equal">
      <formula>"B"</formula>
    </cfRule>
    <cfRule type="cellIs" dxfId="32" priority="64" operator="equal">
      <formula>"P"</formula>
    </cfRule>
    <cfRule type="cellIs" dxfId="31" priority="65" operator="equal">
      <formula>"B"</formula>
    </cfRule>
  </conditionalFormatting>
  <conditionalFormatting sqref="AO19:AR19">
    <cfRule type="cellIs" dxfId="30" priority="42" operator="equal">
      <formula>"N"</formula>
    </cfRule>
    <cfRule type="cellIs" dxfId="29" priority="43" operator="equal">
      <formula>1</formula>
    </cfRule>
    <cfRule type="cellIs" dxfId="28" priority="44" operator="equal">
      <formula>0</formula>
    </cfRule>
    <cfRule type="cellIs" dxfId="27" priority="45" operator="equal">
      <formula>"B"</formula>
    </cfRule>
    <cfRule type="cellIs" dxfId="26" priority="46" operator="equal">
      <formula>"P"</formula>
    </cfRule>
    <cfRule type="cellIs" dxfId="25" priority="47" operator="equal">
      <formula>"B"</formula>
    </cfRule>
  </conditionalFormatting>
  <conditionalFormatting sqref="AO21:AR23">
    <cfRule type="cellIs" dxfId="24" priority="24" operator="equal">
      <formula>"N"</formula>
    </cfRule>
    <cfRule type="cellIs" dxfId="23" priority="25" operator="equal">
      <formula>1</formula>
    </cfRule>
    <cfRule type="cellIs" dxfId="22" priority="26" operator="equal">
      <formula>0</formula>
    </cfRule>
    <cfRule type="cellIs" dxfId="21" priority="27" operator="equal">
      <formula>"B"</formula>
    </cfRule>
    <cfRule type="cellIs" dxfId="20" priority="28" operator="equal">
      <formula>"P"</formula>
    </cfRule>
    <cfRule type="cellIs" dxfId="19" priority="29" operator="equal">
      <formula>"B"</formula>
    </cfRule>
  </conditionalFormatting>
  <conditionalFormatting sqref="AP17:AR18">
    <cfRule type="cellIs" dxfId="18" priority="48" operator="equal">
      <formula>"N"</formula>
    </cfRule>
    <cfRule type="cellIs" dxfId="17" priority="49" operator="equal">
      <formula>1</formula>
    </cfRule>
    <cfRule type="cellIs" dxfId="16" priority="50" operator="equal">
      <formula>0</formula>
    </cfRule>
    <cfRule type="cellIs" dxfId="15" priority="51" operator="equal">
      <formula>"B"</formula>
    </cfRule>
    <cfRule type="cellIs" dxfId="14" priority="52" operator="equal">
      <formula>"P"</formula>
    </cfRule>
    <cfRule type="cellIs" dxfId="13" priority="53" operator="equal">
      <formula>"B"</formula>
    </cfRule>
  </conditionalFormatting>
  <conditionalFormatting sqref="AP24:AR24">
    <cfRule type="cellIs" dxfId="12" priority="18" operator="equal">
      <formula>"N"</formula>
    </cfRule>
    <cfRule type="cellIs" dxfId="11" priority="19" operator="equal">
      <formula>1</formula>
    </cfRule>
    <cfRule type="cellIs" dxfId="10" priority="20" operator="equal">
      <formula>0</formula>
    </cfRule>
    <cfRule type="cellIs" dxfId="9" priority="21" operator="equal">
      <formula>"B"</formula>
    </cfRule>
    <cfRule type="cellIs" dxfId="8" priority="22" operator="equal">
      <formula>"P"</formula>
    </cfRule>
    <cfRule type="cellIs" dxfId="7" priority="23" operator="equal">
      <formula>"B"</formula>
    </cfRule>
  </conditionalFormatting>
  <conditionalFormatting sqref="AT5:CA137">
    <cfRule type="cellIs" dxfId="6" priority="1" operator="equal">
      <formula>"D"</formula>
    </cfRule>
    <cfRule type="cellIs" dxfId="5" priority="2" operator="equal">
      <formula>"N"</formula>
    </cfRule>
    <cfRule type="cellIs" dxfId="4" priority="3" operator="equal">
      <formula>1</formula>
    </cfRule>
    <cfRule type="cellIs" dxfId="3" priority="4" operator="equal">
      <formula>0</formula>
    </cfRule>
    <cfRule type="cellIs" dxfId="2" priority="5" operator="equal">
      <formula>"B"</formula>
    </cfRule>
    <cfRule type="cellIs" dxfId="1" priority="6" operator="equal">
      <formula>"P"</formula>
    </cfRule>
    <cfRule type="cellIs" dxfId="0" priority="7" operator="equal">
      <formula>"O"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011F-8134-4FDB-9FC6-434EFC5C892C}">
  <dimension ref="B1:E104"/>
  <sheetViews>
    <sheetView topLeftCell="A98" zoomScale="70" zoomScaleNormal="70" workbookViewId="0">
      <selection activeCell="D101" sqref="D101"/>
    </sheetView>
  </sheetViews>
  <sheetFormatPr defaultColWidth="12.42578125" defaultRowHeight="21"/>
  <cols>
    <col min="1" max="1" width="4" style="18" customWidth="1"/>
    <col min="2" max="2" width="26.28515625" style="19" customWidth="1"/>
    <col min="3" max="5" width="115.28515625" style="18" customWidth="1"/>
    <col min="6" max="16384" width="12.42578125" style="18"/>
  </cols>
  <sheetData>
    <row r="1" spans="2:5" ht="15.75" customHeight="1"/>
    <row r="2" spans="2:5" s="20" customFormat="1" ht="31.5">
      <c r="B2" s="26" t="s">
        <v>220</v>
      </c>
      <c r="C2" s="25" t="s">
        <v>4</v>
      </c>
      <c r="D2" s="25" t="s">
        <v>6</v>
      </c>
      <c r="E2" s="25" t="s">
        <v>8</v>
      </c>
    </row>
    <row r="3" spans="2:5" ht="75">
      <c r="B3" s="22" t="s">
        <v>79</v>
      </c>
      <c r="C3" s="23" t="s">
        <v>221</v>
      </c>
      <c r="D3" s="23" t="s">
        <v>222</v>
      </c>
      <c r="E3" s="23" t="s">
        <v>223</v>
      </c>
    </row>
    <row r="4" spans="2:5" ht="75">
      <c r="B4" s="21" t="s">
        <v>80</v>
      </c>
      <c r="C4" s="24" t="s">
        <v>224</v>
      </c>
      <c r="D4" s="24" t="s">
        <v>225</v>
      </c>
      <c r="E4" s="24" t="s">
        <v>226</v>
      </c>
    </row>
    <row r="5" spans="2:5" ht="75">
      <c r="B5" s="22" t="s">
        <v>81</v>
      </c>
      <c r="C5" s="23" t="s">
        <v>227</v>
      </c>
      <c r="D5" s="23" t="s">
        <v>228</v>
      </c>
      <c r="E5" s="23" t="s">
        <v>229</v>
      </c>
    </row>
    <row r="6" spans="2:5" ht="90">
      <c r="B6" s="21" t="s">
        <v>82</v>
      </c>
      <c r="C6" s="24" t="s">
        <v>230</v>
      </c>
      <c r="D6" s="24" t="s">
        <v>231</v>
      </c>
      <c r="E6" s="24" t="s">
        <v>232</v>
      </c>
    </row>
    <row r="7" spans="2:5" ht="93.75" customHeight="1">
      <c r="B7" s="22" t="s">
        <v>83</v>
      </c>
      <c r="C7" s="23" t="s">
        <v>233</v>
      </c>
      <c r="D7" s="23" t="s">
        <v>234</v>
      </c>
      <c r="E7" s="23" t="s">
        <v>235</v>
      </c>
    </row>
    <row r="8" spans="2:5" ht="90">
      <c r="B8" s="21" t="s">
        <v>84</v>
      </c>
      <c r="C8" s="24" t="s">
        <v>236</v>
      </c>
      <c r="D8" s="24" t="s">
        <v>237</v>
      </c>
      <c r="E8" s="24" t="s">
        <v>238</v>
      </c>
    </row>
    <row r="9" spans="2:5" ht="120">
      <c r="B9" s="22" t="s">
        <v>85</v>
      </c>
      <c r="C9" s="23" t="s">
        <v>239</v>
      </c>
      <c r="D9" s="23" t="s">
        <v>240</v>
      </c>
      <c r="E9" s="23" t="s">
        <v>241</v>
      </c>
    </row>
    <row r="10" spans="2:5" ht="165">
      <c r="B10" s="21" t="s">
        <v>86</v>
      </c>
      <c r="C10" s="24" t="s">
        <v>242</v>
      </c>
      <c r="D10" s="24" t="s">
        <v>243</v>
      </c>
      <c r="E10" s="24" t="s">
        <v>244</v>
      </c>
    </row>
    <row r="11" spans="2:5" ht="150">
      <c r="B11" s="22" t="s">
        <v>88</v>
      </c>
      <c r="C11" s="23" t="s">
        <v>245</v>
      </c>
      <c r="D11" s="23" t="s">
        <v>246</v>
      </c>
      <c r="E11" s="23" t="s">
        <v>247</v>
      </c>
    </row>
    <row r="12" spans="2:5" ht="150">
      <c r="B12" s="21" t="s">
        <v>89</v>
      </c>
      <c r="C12" s="24" t="s">
        <v>248</v>
      </c>
      <c r="D12" s="24" t="s">
        <v>249</v>
      </c>
      <c r="E12" s="24" t="s">
        <v>250</v>
      </c>
    </row>
    <row r="13" spans="2:5" ht="150">
      <c r="B13" s="22" t="s">
        <v>90</v>
      </c>
      <c r="C13" s="23" t="s">
        <v>251</v>
      </c>
      <c r="D13" s="23" t="s">
        <v>252</v>
      </c>
      <c r="E13" s="23" t="s">
        <v>253</v>
      </c>
    </row>
    <row r="14" spans="2:5" ht="195">
      <c r="B14" s="21" t="s">
        <v>91</v>
      </c>
      <c r="C14" s="24" t="s">
        <v>254</v>
      </c>
      <c r="D14" s="24" t="s">
        <v>255</v>
      </c>
      <c r="E14" s="24" t="s">
        <v>256</v>
      </c>
    </row>
    <row r="15" spans="2:5" ht="180">
      <c r="B15" s="22" t="s">
        <v>257</v>
      </c>
      <c r="C15" s="23" t="s">
        <v>258</v>
      </c>
      <c r="D15" s="23" t="s">
        <v>259</v>
      </c>
      <c r="E15" s="23" t="s">
        <v>260</v>
      </c>
    </row>
    <row r="16" spans="2:5" ht="210">
      <c r="B16" s="21" t="s">
        <v>93</v>
      </c>
      <c r="C16" s="24" t="s">
        <v>261</v>
      </c>
      <c r="D16" s="24" t="s">
        <v>262</v>
      </c>
      <c r="E16" s="24" t="s">
        <v>263</v>
      </c>
    </row>
    <row r="17" spans="2:5" ht="240">
      <c r="B17" s="22" t="s">
        <v>94</v>
      </c>
      <c r="C17" s="23" t="s">
        <v>264</v>
      </c>
      <c r="D17" s="23" t="s">
        <v>265</v>
      </c>
      <c r="E17" s="23" t="s">
        <v>266</v>
      </c>
    </row>
    <row r="18" spans="2:5" ht="135">
      <c r="B18" s="21" t="s">
        <v>95</v>
      </c>
      <c r="C18" s="24" t="s">
        <v>267</v>
      </c>
      <c r="D18" s="29" t="s">
        <v>268</v>
      </c>
      <c r="E18" s="24" t="s">
        <v>269</v>
      </c>
    </row>
    <row r="19" spans="2:5" ht="210">
      <c r="B19" s="22" t="s">
        <v>96</v>
      </c>
      <c r="C19" s="23" t="s">
        <v>270</v>
      </c>
      <c r="D19" s="23" t="s">
        <v>271</v>
      </c>
      <c r="E19" s="23" t="s">
        <v>272</v>
      </c>
    </row>
    <row r="20" spans="2:5" ht="210">
      <c r="B20" s="21" t="s">
        <v>98</v>
      </c>
      <c r="C20" s="24" t="s">
        <v>273</v>
      </c>
      <c r="D20" s="24" t="s">
        <v>274</v>
      </c>
      <c r="E20" s="24" t="s">
        <v>275</v>
      </c>
    </row>
    <row r="21" spans="2:5" ht="300">
      <c r="B21" s="22" t="s">
        <v>99</v>
      </c>
      <c r="C21" s="23" t="s">
        <v>276</v>
      </c>
      <c r="D21" s="28" t="s">
        <v>277</v>
      </c>
      <c r="E21" s="23" t="s">
        <v>278</v>
      </c>
    </row>
    <row r="22" spans="2:5" ht="255">
      <c r="B22" s="21" t="s">
        <v>100</v>
      </c>
      <c r="C22" s="24" t="s">
        <v>279</v>
      </c>
      <c r="D22" s="24" t="s">
        <v>280</v>
      </c>
      <c r="E22" s="24" t="s">
        <v>281</v>
      </c>
    </row>
    <row r="23" spans="2:5" ht="255">
      <c r="B23" s="22" t="s">
        <v>101</v>
      </c>
      <c r="C23" s="23" t="s">
        <v>282</v>
      </c>
      <c r="D23" s="23" t="s">
        <v>283</v>
      </c>
      <c r="E23" s="23" t="s">
        <v>284</v>
      </c>
    </row>
    <row r="24" spans="2:5" ht="225">
      <c r="B24" s="21" t="s">
        <v>102</v>
      </c>
      <c r="C24" s="24" t="s">
        <v>285</v>
      </c>
      <c r="D24" s="24" t="s">
        <v>286</v>
      </c>
      <c r="E24" s="24" t="s">
        <v>287</v>
      </c>
    </row>
    <row r="25" spans="2:5" ht="240">
      <c r="B25" s="22" t="s">
        <v>103</v>
      </c>
      <c r="C25" s="23" t="s">
        <v>288</v>
      </c>
      <c r="D25" s="23" t="s">
        <v>289</v>
      </c>
      <c r="E25" s="23" t="s">
        <v>290</v>
      </c>
    </row>
    <row r="26" spans="2:5" ht="270">
      <c r="B26" s="21" t="s">
        <v>104</v>
      </c>
      <c r="C26" s="24" t="s">
        <v>291</v>
      </c>
      <c r="D26" s="24" t="s">
        <v>292</v>
      </c>
      <c r="E26" s="24" t="s">
        <v>293</v>
      </c>
    </row>
    <row r="27" spans="2:5" ht="240">
      <c r="B27" s="22" t="s">
        <v>105</v>
      </c>
      <c r="C27" s="23" t="s">
        <v>294</v>
      </c>
      <c r="D27" s="23" t="s">
        <v>295</v>
      </c>
      <c r="E27" s="23" t="s">
        <v>296</v>
      </c>
    </row>
    <row r="28" spans="2:5" ht="150">
      <c r="B28" s="21" t="s">
        <v>106</v>
      </c>
      <c r="C28" s="27" t="s">
        <v>297</v>
      </c>
      <c r="D28" s="27" t="s">
        <v>298</v>
      </c>
      <c r="E28" s="24" t="s">
        <v>299</v>
      </c>
    </row>
    <row r="29" spans="2:5" ht="225">
      <c r="B29" s="22" t="s">
        <v>107</v>
      </c>
      <c r="C29" s="30" t="s">
        <v>300</v>
      </c>
      <c r="D29" s="30" t="s">
        <v>301</v>
      </c>
      <c r="E29" s="30" t="s">
        <v>302</v>
      </c>
    </row>
    <row r="30" spans="2:5" ht="285">
      <c r="B30" s="21" t="s">
        <v>108</v>
      </c>
      <c r="C30" s="24" t="s">
        <v>303</v>
      </c>
      <c r="D30" s="24" t="s">
        <v>304</v>
      </c>
      <c r="E30" s="24" t="s">
        <v>305</v>
      </c>
    </row>
    <row r="31" spans="2:5" ht="300">
      <c r="B31" s="22" t="s">
        <v>109</v>
      </c>
      <c r="C31" s="30" t="s">
        <v>306</v>
      </c>
      <c r="D31" s="30" t="s">
        <v>307</v>
      </c>
      <c r="E31" s="30" t="s">
        <v>308</v>
      </c>
    </row>
    <row r="32" spans="2:5" ht="315">
      <c r="B32" s="21" t="s">
        <v>110</v>
      </c>
      <c r="C32" s="24" t="s">
        <v>309</v>
      </c>
      <c r="D32" s="24" t="s">
        <v>310</v>
      </c>
      <c r="E32" s="24" t="s">
        <v>311</v>
      </c>
    </row>
    <row r="33" spans="2:5" ht="330">
      <c r="B33" s="22" t="s">
        <v>111</v>
      </c>
      <c r="C33" s="30" t="s">
        <v>312</v>
      </c>
      <c r="D33" s="30" t="s">
        <v>313</v>
      </c>
      <c r="E33" s="30" t="s">
        <v>314</v>
      </c>
    </row>
    <row r="34" spans="2:5" ht="240">
      <c r="B34" s="21" t="s">
        <v>112</v>
      </c>
      <c r="C34" s="24" t="s">
        <v>315</v>
      </c>
      <c r="D34" s="24" t="s">
        <v>316</v>
      </c>
      <c r="E34" s="24" t="s">
        <v>317</v>
      </c>
    </row>
    <row r="35" spans="2:5" ht="390">
      <c r="B35" s="22" t="s">
        <v>113</v>
      </c>
      <c r="C35" s="30" t="s">
        <v>318</v>
      </c>
      <c r="D35" s="30" t="s">
        <v>319</v>
      </c>
      <c r="E35" s="30" t="s">
        <v>320</v>
      </c>
    </row>
    <row r="36" spans="2:5" ht="300">
      <c r="B36" s="21" t="s">
        <v>321</v>
      </c>
      <c r="C36" s="24" t="s">
        <v>322</v>
      </c>
      <c r="D36" s="24" t="s">
        <v>323</v>
      </c>
      <c r="E36" s="24" t="s">
        <v>324</v>
      </c>
    </row>
    <row r="37" spans="2:5" ht="180">
      <c r="B37" s="22" t="s">
        <v>115</v>
      </c>
      <c r="C37" s="30" t="s">
        <v>325</v>
      </c>
      <c r="D37" s="30" t="s">
        <v>326</v>
      </c>
      <c r="E37" s="30" t="s">
        <v>327</v>
      </c>
    </row>
    <row r="38" spans="2:5" ht="210">
      <c r="B38" s="21" t="s">
        <v>116</v>
      </c>
      <c r="C38" s="24" t="s">
        <v>328</v>
      </c>
      <c r="D38" s="24" t="s">
        <v>329</v>
      </c>
      <c r="E38" s="24" t="s">
        <v>330</v>
      </c>
    </row>
    <row r="39" spans="2:5" ht="90">
      <c r="B39" s="22" t="s">
        <v>118</v>
      </c>
      <c r="C39" s="30" t="s">
        <v>331</v>
      </c>
      <c r="D39" s="30" t="s">
        <v>332</v>
      </c>
      <c r="E39" s="30" t="s">
        <v>333</v>
      </c>
    </row>
    <row r="40" spans="2:5" ht="90">
      <c r="B40" s="21" t="s">
        <v>119</v>
      </c>
      <c r="C40" s="24" t="s">
        <v>334</v>
      </c>
      <c r="D40" s="24" t="s">
        <v>335</v>
      </c>
      <c r="E40" s="24" t="s">
        <v>336</v>
      </c>
    </row>
    <row r="41" spans="2:5" ht="75">
      <c r="B41" s="22" t="s">
        <v>337</v>
      </c>
      <c r="C41" s="30" t="s">
        <v>338</v>
      </c>
      <c r="D41" s="30" t="s">
        <v>339</v>
      </c>
      <c r="E41" s="30" t="s">
        <v>340</v>
      </c>
    </row>
    <row r="42" spans="2:5" ht="90">
      <c r="B42" s="21" t="s">
        <v>121</v>
      </c>
      <c r="C42" s="24" t="s">
        <v>341</v>
      </c>
      <c r="D42" s="24" t="s">
        <v>342</v>
      </c>
      <c r="E42" s="24" t="s">
        <v>343</v>
      </c>
    </row>
    <row r="43" spans="2:5" ht="90">
      <c r="B43" s="22" t="s">
        <v>122</v>
      </c>
      <c r="C43" s="30" t="s">
        <v>344</v>
      </c>
      <c r="D43" s="30" t="s">
        <v>345</v>
      </c>
      <c r="E43" s="30" t="s">
        <v>346</v>
      </c>
    </row>
    <row r="44" spans="2:5" ht="90">
      <c r="B44" s="21" t="s">
        <v>123</v>
      </c>
      <c r="C44" s="24" t="s">
        <v>347</v>
      </c>
      <c r="D44" s="24" t="s">
        <v>348</v>
      </c>
      <c r="E44" s="24" t="s">
        <v>349</v>
      </c>
    </row>
    <row r="45" spans="2:5" ht="75">
      <c r="B45" s="22" t="s">
        <v>124</v>
      </c>
      <c r="C45" s="30" t="s">
        <v>350</v>
      </c>
      <c r="D45" s="30" t="s">
        <v>351</v>
      </c>
      <c r="E45" s="30" t="s">
        <v>352</v>
      </c>
    </row>
    <row r="46" spans="2:5" ht="90">
      <c r="B46" s="21" t="s">
        <v>353</v>
      </c>
      <c r="C46" s="24" t="s">
        <v>354</v>
      </c>
      <c r="D46" s="24" t="s">
        <v>355</v>
      </c>
      <c r="E46" s="24" t="s">
        <v>356</v>
      </c>
    </row>
    <row r="47" spans="2:5" ht="75">
      <c r="B47" s="22" t="s">
        <v>126</v>
      </c>
      <c r="C47" s="30" t="s">
        <v>357</v>
      </c>
      <c r="D47" s="30" t="s">
        <v>358</v>
      </c>
      <c r="E47" s="30" t="s">
        <v>359</v>
      </c>
    </row>
    <row r="48" spans="2:5" ht="90">
      <c r="B48" s="21" t="s">
        <v>127</v>
      </c>
      <c r="C48" s="24" t="s">
        <v>360</v>
      </c>
      <c r="D48" s="24" t="s">
        <v>361</v>
      </c>
      <c r="E48" s="24" t="s">
        <v>362</v>
      </c>
    </row>
    <row r="49" spans="2:5" ht="135">
      <c r="B49" s="22" t="s">
        <v>128</v>
      </c>
      <c r="C49" s="30" t="s">
        <v>363</v>
      </c>
      <c r="D49" s="30" t="s">
        <v>364</v>
      </c>
      <c r="E49" s="30" t="s">
        <v>365</v>
      </c>
    </row>
    <row r="50" spans="2:5" ht="150">
      <c r="B50" s="21" t="s">
        <v>129</v>
      </c>
      <c r="C50" s="24" t="s">
        <v>366</v>
      </c>
      <c r="D50" s="24" t="s">
        <v>367</v>
      </c>
      <c r="E50" s="24" t="s">
        <v>368</v>
      </c>
    </row>
    <row r="51" spans="2:5" ht="180">
      <c r="B51" s="22" t="s">
        <v>130</v>
      </c>
      <c r="C51" s="30" t="s">
        <v>369</v>
      </c>
      <c r="D51" s="30" t="s">
        <v>370</v>
      </c>
      <c r="E51" s="30" t="s">
        <v>371</v>
      </c>
    </row>
    <row r="52" spans="2:5" ht="240">
      <c r="B52" s="21" t="s">
        <v>131</v>
      </c>
      <c r="C52" s="24" t="s">
        <v>372</v>
      </c>
      <c r="D52" s="24" t="s">
        <v>373</v>
      </c>
      <c r="E52" s="24" t="s">
        <v>374</v>
      </c>
    </row>
    <row r="53" spans="2:5" ht="195">
      <c r="B53" s="22" t="s">
        <v>132</v>
      </c>
      <c r="C53" s="30" t="s">
        <v>375</v>
      </c>
      <c r="D53" s="30" t="s">
        <v>376</v>
      </c>
      <c r="E53" s="30" t="s">
        <v>377</v>
      </c>
    </row>
    <row r="54" spans="2:5" ht="225">
      <c r="B54" s="21" t="s">
        <v>191</v>
      </c>
      <c r="C54" s="24" t="s">
        <v>378</v>
      </c>
      <c r="D54" s="24" t="s">
        <v>379</v>
      </c>
      <c r="E54" s="24" t="s">
        <v>380</v>
      </c>
    </row>
    <row r="55" spans="2:5" ht="195">
      <c r="B55" s="22" t="s">
        <v>133</v>
      </c>
      <c r="C55" s="30" t="s">
        <v>381</v>
      </c>
      <c r="D55" s="30" t="s">
        <v>382</v>
      </c>
      <c r="E55" s="30" t="s">
        <v>383</v>
      </c>
    </row>
    <row r="56" spans="2:5" ht="225">
      <c r="B56" s="21" t="s">
        <v>134</v>
      </c>
      <c r="C56" s="24" t="s">
        <v>384</v>
      </c>
      <c r="D56" s="24" t="s">
        <v>385</v>
      </c>
      <c r="E56" s="24" t="s">
        <v>386</v>
      </c>
    </row>
    <row r="57" spans="2:5" ht="255">
      <c r="B57" s="22" t="s">
        <v>135</v>
      </c>
      <c r="C57" s="30" t="s">
        <v>387</v>
      </c>
      <c r="D57" s="30" t="s">
        <v>388</v>
      </c>
      <c r="E57" s="30" t="s">
        <v>389</v>
      </c>
    </row>
    <row r="58" spans="2:5" ht="210">
      <c r="B58" s="21" t="s">
        <v>136</v>
      </c>
      <c r="C58" s="24" t="s">
        <v>390</v>
      </c>
      <c r="D58" s="24" t="s">
        <v>391</v>
      </c>
      <c r="E58" s="24" t="s">
        <v>392</v>
      </c>
    </row>
    <row r="59" spans="2:5" ht="225">
      <c r="B59" s="22" t="s">
        <v>137</v>
      </c>
      <c r="C59" s="30" t="s">
        <v>393</v>
      </c>
      <c r="D59" s="30" t="s">
        <v>394</v>
      </c>
      <c r="E59" s="30" t="s">
        <v>395</v>
      </c>
    </row>
    <row r="60" spans="2:5" ht="375">
      <c r="B60" s="21" t="s">
        <v>138</v>
      </c>
      <c r="C60" s="24" t="s">
        <v>396</v>
      </c>
      <c r="D60" s="24" t="s">
        <v>397</v>
      </c>
      <c r="E60" s="24" t="s">
        <v>398</v>
      </c>
    </row>
    <row r="61" spans="2:5" ht="210">
      <c r="B61" s="22" t="s">
        <v>139</v>
      </c>
      <c r="C61" s="30" t="s">
        <v>399</v>
      </c>
      <c r="D61" s="30" t="s">
        <v>400</v>
      </c>
      <c r="E61" s="30" t="s">
        <v>401</v>
      </c>
    </row>
    <row r="62" spans="2:5" ht="240">
      <c r="B62" s="21" t="s">
        <v>140</v>
      </c>
      <c r="C62" s="24" t="s">
        <v>402</v>
      </c>
      <c r="D62" s="24" t="s">
        <v>403</v>
      </c>
      <c r="E62" s="24" t="s">
        <v>404</v>
      </c>
    </row>
    <row r="63" spans="2:5" ht="255">
      <c r="B63" s="22" t="s">
        <v>141</v>
      </c>
      <c r="C63" s="30" t="s">
        <v>405</v>
      </c>
      <c r="D63" s="30" t="s">
        <v>406</v>
      </c>
      <c r="E63" s="30" t="s">
        <v>407</v>
      </c>
    </row>
    <row r="64" spans="2:5" ht="165">
      <c r="B64" s="21" t="s">
        <v>142</v>
      </c>
      <c r="C64" s="24" t="s">
        <v>408</v>
      </c>
      <c r="D64" s="24" t="s">
        <v>409</v>
      </c>
      <c r="E64" s="24" t="s">
        <v>410</v>
      </c>
    </row>
    <row r="65" spans="2:5" ht="210">
      <c r="B65" s="22" t="s">
        <v>143</v>
      </c>
      <c r="C65" s="30" t="s">
        <v>411</v>
      </c>
      <c r="D65" s="30" t="s">
        <v>412</v>
      </c>
      <c r="E65" s="30" t="s">
        <v>413</v>
      </c>
    </row>
    <row r="66" spans="2:5" ht="150">
      <c r="B66" s="21" t="s">
        <v>144</v>
      </c>
      <c r="C66" s="24" t="s">
        <v>414</v>
      </c>
      <c r="D66" s="24" t="s">
        <v>415</v>
      </c>
      <c r="E66" s="24" t="s">
        <v>416</v>
      </c>
    </row>
    <row r="67" spans="2:5" ht="210">
      <c r="B67" s="22" t="s">
        <v>145</v>
      </c>
      <c r="C67" s="30" t="s">
        <v>417</v>
      </c>
      <c r="D67" s="30" t="s">
        <v>418</v>
      </c>
      <c r="E67" s="30" t="s">
        <v>419</v>
      </c>
    </row>
    <row r="68" spans="2:5" ht="195">
      <c r="B68" s="21" t="s">
        <v>146</v>
      </c>
      <c r="C68" s="24" t="s">
        <v>420</v>
      </c>
      <c r="D68" s="24" t="s">
        <v>421</v>
      </c>
      <c r="E68" s="24" t="s">
        <v>422</v>
      </c>
    </row>
    <row r="69" spans="2:5" ht="180">
      <c r="B69" s="22" t="s">
        <v>147</v>
      </c>
      <c r="C69" s="30" t="s">
        <v>423</v>
      </c>
      <c r="D69" s="30" t="s">
        <v>424</v>
      </c>
      <c r="E69" s="30" t="s">
        <v>425</v>
      </c>
    </row>
    <row r="70" spans="2:5" ht="180">
      <c r="B70" s="21" t="s">
        <v>148</v>
      </c>
      <c r="C70" s="24" t="s">
        <v>426</v>
      </c>
      <c r="D70" s="24" t="s">
        <v>427</v>
      </c>
      <c r="E70" s="24" t="s">
        <v>428</v>
      </c>
    </row>
    <row r="71" spans="2:5" ht="180">
      <c r="B71" s="22" t="s">
        <v>149</v>
      </c>
      <c r="C71" s="30" t="s">
        <v>429</v>
      </c>
      <c r="D71" s="30" t="s">
        <v>430</v>
      </c>
      <c r="E71" s="30" t="s">
        <v>431</v>
      </c>
    </row>
    <row r="72" spans="2:5" ht="180">
      <c r="B72" s="21" t="s">
        <v>150</v>
      </c>
      <c r="C72" s="24" t="s">
        <v>432</v>
      </c>
      <c r="D72" s="24" t="s">
        <v>433</v>
      </c>
      <c r="E72" s="24" t="s">
        <v>434</v>
      </c>
    </row>
    <row r="73" spans="2:5" ht="180">
      <c r="B73" s="22" t="s">
        <v>151</v>
      </c>
      <c r="C73" s="30" t="s">
        <v>435</v>
      </c>
      <c r="D73" s="30" t="s">
        <v>436</v>
      </c>
      <c r="E73" s="30" t="s">
        <v>437</v>
      </c>
    </row>
    <row r="74" spans="2:5" ht="210">
      <c r="B74" s="21" t="s">
        <v>152</v>
      </c>
      <c r="C74" s="24" t="s">
        <v>438</v>
      </c>
      <c r="D74" s="24" t="s">
        <v>439</v>
      </c>
      <c r="E74" s="24" t="s">
        <v>440</v>
      </c>
    </row>
    <row r="75" spans="2:5" ht="210">
      <c r="B75" s="22" t="s">
        <v>153</v>
      </c>
      <c r="C75" s="30" t="s">
        <v>441</v>
      </c>
      <c r="D75" s="30" t="s">
        <v>442</v>
      </c>
      <c r="E75" s="30" t="s">
        <v>443</v>
      </c>
    </row>
    <row r="76" spans="2:5" ht="120">
      <c r="B76" s="21" t="s">
        <v>154</v>
      </c>
      <c r="C76" s="24" t="s">
        <v>444</v>
      </c>
      <c r="D76" s="24" t="s">
        <v>445</v>
      </c>
      <c r="E76" s="24" t="s">
        <v>446</v>
      </c>
    </row>
    <row r="77" spans="2:5" ht="90">
      <c r="B77" s="22" t="s">
        <v>447</v>
      </c>
      <c r="C77" s="30" t="s">
        <v>448</v>
      </c>
      <c r="D77" s="30" t="s">
        <v>449</v>
      </c>
      <c r="E77" s="30"/>
    </row>
    <row r="78" spans="2:5" ht="195">
      <c r="B78" s="21" t="s">
        <v>450</v>
      </c>
      <c r="C78" s="24" t="s">
        <v>451</v>
      </c>
      <c r="D78" s="24" t="s">
        <v>452</v>
      </c>
      <c r="E78" s="24" t="s">
        <v>453</v>
      </c>
    </row>
    <row r="79" spans="2:5" ht="168.75" customHeight="1">
      <c r="B79" s="22" t="s">
        <v>194</v>
      </c>
      <c r="C79" s="30" t="s">
        <v>454</v>
      </c>
      <c r="D79" s="30" t="s">
        <v>455</v>
      </c>
      <c r="E79" s="30" t="s">
        <v>456</v>
      </c>
    </row>
    <row r="80" spans="2:5" ht="90">
      <c r="B80" s="21" t="s">
        <v>196</v>
      </c>
      <c r="C80" s="24" t="s">
        <v>457</v>
      </c>
      <c r="D80" s="24" t="s">
        <v>458</v>
      </c>
      <c r="E80" s="24" t="s">
        <v>459</v>
      </c>
    </row>
    <row r="81" spans="2:5" ht="150">
      <c r="B81" s="22" t="s">
        <v>197</v>
      </c>
      <c r="C81" s="30" t="s">
        <v>460</v>
      </c>
      <c r="D81" s="30" t="s">
        <v>461</v>
      </c>
      <c r="E81" s="30" t="s">
        <v>462</v>
      </c>
    </row>
    <row r="82" spans="2:5" ht="150">
      <c r="B82" s="21" t="s">
        <v>198</v>
      </c>
      <c r="C82" s="24" t="s">
        <v>463</v>
      </c>
      <c r="D82" s="24" t="s">
        <v>464</v>
      </c>
      <c r="E82" s="24" t="s">
        <v>465</v>
      </c>
    </row>
    <row r="83" spans="2:5" ht="105">
      <c r="B83" s="22" t="s">
        <v>199</v>
      </c>
      <c r="C83" s="30" t="s">
        <v>466</v>
      </c>
      <c r="D83" s="30" t="s">
        <v>467</v>
      </c>
      <c r="E83" s="30" t="s">
        <v>468</v>
      </c>
    </row>
    <row r="84" spans="2:5" ht="120">
      <c r="B84" s="21" t="s">
        <v>200</v>
      </c>
      <c r="C84" s="24" t="s">
        <v>469</v>
      </c>
      <c r="D84" s="24" t="s">
        <v>470</v>
      </c>
      <c r="E84" s="24" t="s">
        <v>471</v>
      </c>
    </row>
    <row r="85" spans="2:5" ht="105">
      <c r="B85" s="22" t="s">
        <v>201</v>
      </c>
      <c r="C85" s="30" t="s">
        <v>472</v>
      </c>
      <c r="D85" s="30" t="s">
        <v>473</v>
      </c>
      <c r="E85" s="30" t="s">
        <v>474</v>
      </c>
    </row>
    <row r="86" spans="2:5" ht="90">
      <c r="B86" s="21" t="s">
        <v>202</v>
      </c>
      <c r="C86" s="24" t="s">
        <v>475</v>
      </c>
      <c r="D86" s="24" t="s">
        <v>476</v>
      </c>
      <c r="E86" s="24" t="s">
        <v>477</v>
      </c>
    </row>
    <row r="87" spans="2:5" ht="120">
      <c r="B87" s="22" t="s">
        <v>203</v>
      </c>
      <c r="C87" s="30" t="s">
        <v>478</v>
      </c>
      <c r="D87" s="30" t="s">
        <v>479</v>
      </c>
      <c r="E87" s="30" t="s">
        <v>480</v>
      </c>
    </row>
    <row r="88" spans="2:5" ht="409.5" customHeight="1">
      <c r="B88" s="21" t="s">
        <v>193</v>
      </c>
      <c r="C88" s="24" t="s">
        <v>481</v>
      </c>
      <c r="D88" s="24" t="s">
        <v>482</v>
      </c>
      <c r="E88" s="24" t="s">
        <v>483</v>
      </c>
    </row>
    <row r="89" spans="2:5" ht="295.5" customHeight="1">
      <c r="B89" s="22" t="s">
        <v>192</v>
      </c>
      <c r="C89" s="30" t="s">
        <v>484</v>
      </c>
      <c r="D89" s="30" t="s">
        <v>485</v>
      </c>
      <c r="E89" s="30" t="s">
        <v>486</v>
      </c>
    </row>
    <row r="90" spans="2:5" ht="90">
      <c r="B90" s="21" t="s">
        <v>204</v>
      </c>
      <c r="C90" s="24" t="s">
        <v>487</v>
      </c>
      <c r="D90" s="24" t="s">
        <v>488</v>
      </c>
      <c r="E90" s="24" t="s">
        <v>489</v>
      </c>
    </row>
    <row r="91" spans="2:5" ht="90">
      <c r="B91" s="22" t="s">
        <v>205</v>
      </c>
      <c r="C91" s="30" t="s">
        <v>490</v>
      </c>
      <c r="D91" s="30" t="s">
        <v>491</v>
      </c>
      <c r="E91" s="30" t="s">
        <v>492</v>
      </c>
    </row>
    <row r="92" spans="2:5" ht="75">
      <c r="B92" s="21" t="s">
        <v>206</v>
      </c>
      <c r="C92" s="24" t="s">
        <v>493</v>
      </c>
      <c r="D92" s="24" t="s">
        <v>494</v>
      </c>
      <c r="E92" s="24" t="s">
        <v>495</v>
      </c>
    </row>
    <row r="93" spans="2:5" ht="75">
      <c r="B93" s="22" t="s">
        <v>207</v>
      </c>
      <c r="C93" s="30" t="s">
        <v>496</v>
      </c>
      <c r="D93" s="30" t="s">
        <v>497</v>
      </c>
      <c r="E93" s="30" t="s">
        <v>498</v>
      </c>
    </row>
    <row r="94" spans="2:5" ht="408.75" customHeight="1">
      <c r="B94" s="21" t="s">
        <v>208</v>
      </c>
      <c r="C94" s="24" t="s">
        <v>499</v>
      </c>
      <c r="D94" s="24" t="s">
        <v>500</v>
      </c>
      <c r="E94" s="24" t="s">
        <v>501</v>
      </c>
    </row>
    <row r="95" spans="2:5" ht="135">
      <c r="B95" s="22" t="s">
        <v>209</v>
      </c>
      <c r="C95" s="30" t="s">
        <v>502</v>
      </c>
      <c r="D95" s="30" t="s">
        <v>503</v>
      </c>
      <c r="E95" s="30" t="s">
        <v>504</v>
      </c>
    </row>
    <row r="96" spans="2:5" ht="150">
      <c r="B96" s="21" t="s">
        <v>210</v>
      </c>
      <c r="C96" s="24" t="s">
        <v>505</v>
      </c>
      <c r="D96" s="24" t="s">
        <v>506</v>
      </c>
      <c r="E96" s="24" t="s">
        <v>507</v>
      </c>
    </row>
    <row r="97" spans="2:5" ht="90">
      <c r="B97" s="22" t="s">
        <v>211</v>
      </c>
      <c r="C97" s="30" t="s">
        <v>508</v>
      </c>
      <c r="D97" s="30" t="s">
        <v>509</v>
      </c>
      <c r="E97" s="30" t="s">
        <v>510</v>
      </c>
    </row>
    <row r="98" spans="2:5" ht="108.75" customHeight="1">
      <c r="B98" s="21" t="s">
        <v>212</v>
      </c>
      <c r="C98" s="24" t="s">
        <v>511</v>
      </c>
      <c r="D98" s="24" t="s">
        <v>512</v>
      </c>
      <c r="E98" s="24" t="s">
        <v>513</v>
      </c>
    </row>
    <row r="99" spans="2:5" ht="90">
      <c r="B99" s="22" t="s">
        <v>213</v>
      </c>
      <c r="C99" s="30" t="s">
        <v>514</v>
      </c>
      <c r="D99" s="30" t="s">
        <v>515</v>
      </c>
      <c r="E99" s="30" t="s">
        <v>516</v>
      </c>
    </row>
    <row r="100" spans="2:5" ht="105">
      <c r="B100" s="21" t="s">
        <v>214</v>
      </c>
      <c r="C100" s="24" t="s">
        <v>517</v>
      </c>
      <c r="D100" s="24" t="s">
        <v>518</v>
      </c>
      <c r="E100" s="24" t="s">
        <v>519</v>
      </c>
    </row>
    <row r="101" spans="2:5" ht="45">
      <c r="B101" s="22" t="s">
        <v>215</v>
      </c>
      <c r="C101" s="30" t="s">
        <v>520</v>
      </c>
      <c r="D101" s="30" t="s">
        <v>521</v>
      </c>
      <c r="E101" s="30" t="s">
        <v>522</v>
      </c>
    </row>
    <row r="102" spans="2:5" ht="90">
      <c r="B102" s="21" t="s">
        <v>216</v>
      </c>
      <c r="C102" s="24" t="s">
        <v>523</v>
      </c>
      <c r="D102" s="24" t="s">
        <v>524</v>
      </c>
      <c r="E102" s="24" t="s">
        <v>525</v>
      </c>
    </row>
    <row r="103" spans="2:5" ht="105" customHeight="1">
      <c r="B103" s="22" t="s">
        <v>217</v>
      </c>
      <c r="C103" s="30" t="s">
        <v>526</v>
      </c>
      <c r="D103" s="30" t="s">
        <v>527</v>
      </c>
      <c r="E103" s="30" t="s">
        <v>528</v>
      </c>
    </row>
    <row r="104" spans="2:5" ht="15" customHeight="1"/>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743B4-A265-487F-8C20-FB2E7D7E4539}">
  <dimension ref="B2:L40"/>
  <sheetViews>
    <sheetView topLeftCell="A21" workbookViewId="0">
      <selection activeCell="H23" sqref="H23"/>
    </sheetView>
  </sheetViews>
  <sheetFormatPr defaultRowHeight="15"/>
  <cols>
    <col min="1" max="1" width="3.5703125" customWidth="1"/>
    <col min="2" max="2" width="40.140625" bestFit="1" customWidth="1"/>
    <col min="3" max="3" width="19.42578125" bestFit="1" customWidth="1"/>
    <col min="4" max="4" width="11.85546875" bestFit="1" customWidth="1"/>
    <col min="5" max="5" width="10.5703125" bestFit="1" customWidth="1"/>
    <col min="6" max="6" width="11.85546875" customWidth="1"/>
    <col min="7" max="7" width="2.28515625" customWidth="1"/>
    <col min="8" max="8" width="8.140625" customWidth="1"/>
    <col min="9" max="9" width="8.140625" style="9" customWidth="1"/>
    <col min="10" max="12" width="8.140625" customWidth="1"/>
  </cols>
  <sheetData>
    <row r="2" spans="2:4">
      <c r="B2" s="66" t="s">
        <v>529</v>
      </c>
      <c r="C2" s="67" t="s">
        <v>530</v>
      </c>
      <c r="D2" s="67" t="s">
        <v>531</v>
      </c>
    </row>
    <row r="3" spans="2:4">
      <c r="B3" s="10" t="str">
        <f>Matriz_Plataforma!E2</f>
        <v>Dev Trainee Backend</v>
      </c>
      <c r="C3" s="68">
        <f>Matriz_Plataforma!E138</f>
        <v>71</v>
      </c>
      <c r="D3" s="68">
        <f>Matriz_Plataforma!F138</f>
        <v>8</v>
      </c>
    </row>
    <row r="4" spans="2:4">
      <c r="B4" s="11" t="str">
        <f>Matriz_Plataforma!G2</f>
        <v>Dev Júnior Backend</v>
      </c>
      <c r="C4" s="69">
        <f>Matriz_Plataforma!G138</f>
        <v>77</v>
      </c>
      <c r="D4" s="69">
        <f>Matriz_Plataforma!H138</f>
        <v>12</v>
      </c>
    </row>
    <row r="5" spans="2:4">
      <c r="B5" s="10" t="str">
        <f>Matriz_Plataforma!I2</f>
        <v>Dev Pleno Backend</v>
      </c>
      <c r="C5" s="68">
        <f>Matriz_Plataforma!I138</f>
        <v>84</v>
      </c>
      <c r="D5" s="68">
        <f>Matriz_Plataforma!J138</f>
        <v>13</v>
      </c>
    </row>
    <row r="6" spans="2:4">
      <c r="B6" s="11" t="str">
        <f>Matriz_Plataforma!K2</f>
        <v>Dev Sênior Backend</v>
      </c>
      <c r="C6" s="69">
        <f>Matriz_Plataforma!K138</f>
        <v>85</v>
      </c>
      <c r="D6" s="69">
        <f>Matriz_Plataforma!L138</f>
        <v>13</v>
      </c>
    </row>
    <row r="7" spans="2:4">
      <c r="B7" s="10" t="str">
        <f>Matriz_Plataforma!N2</f>
        <v>Dev Trainee Frontend</v>
      </c>
      <c r="C7" s="68">
        <f>Matriz_Plataforma!N138</f>
        <v>70</v>
      </c>
      <c r="D7" s="68">
        <f>Matriz_Plataforma!O138</f>
        <v>4</v>
      </c>
    </row>
    <row r="8" spans="2:4">
      <c r="B8" s="11" t="str">
        <f>Matriz_Plataforma!P2</f>
        <v>Dev Júnior Frontend</v>
      </c>
      <c r="C8" s="69">
        <f>Matriz_Plataforma!P138</f>
        <v>72</v>
      </c>
      <c r="D8" s="69">
        <f>Matriz_Plataforma!Q138</f>
        <v>6</v>
      </c>
    </row>
    <row r="9" spans="2:4">
      <c r="B9" s="10" t="str">
        <f>Matriz_Plataforma!R2</f>
        <v>Dev Pleno Frontend</v>
      </c>
      <c r="C9" s="68">
        <f>Matriz_Plataforma!R138</f>
        <v>82</v>
      </c>
      <c r="D9" s="68">
        <f>Matriz_Plataforma!S138</f>
        <v>7</v>
      </c>
    </row>
    <row r="10" spans="2:4">
      <c r="B10" s="11" t="str">
        <f>Matriz_Plataforma!T2</f>
        <v>Dev Sênior Frontend</v>
      </c>
      <c r="C10" s="69">
        <f>Matriz_Plataforma!T138</f>
        <v>83</v>
      </c>
      <c r="D10" s="69">
        <f>Matriz_Plataforma!U138</f>
        <v>7</v>
      </c>
    </row>
    <row r="11" spans="2:4">
      <c r="B11" s="10" t="str">
        <f>Matriz_Plataforma!W2</f>
        <v>Q.A. Trainee</v>
      </c>
      <c r="C11" s="68">
        <f>Matriz_Plataforma!W138</f>
        <v>66</v>
      </c>
      <c r="D11" s="68">
        <f>Matriz_Plataforma!X138</f>
        <v>9</v>
      </c>
    </row>
    <row r="12" spans="2:4">
      <c r="B12" s="11" t="str">
        <f>Matriz_Plataforma!Y2</f>
        <v>Q.A. Júnior</v>
      </c>
      <c r="C12" s="69">
        <f>Matriz_Plataforma!Y138</f>
        <v>73</v>
      </c>
      <c r="D12" s="69">
        <f>Matriz_Plataforma!Z138</f>
        <v>11</v>
      </c>
    </row>
    <row r="13" spans="2:4">
      <c r="B13" s="10" t="str">
        <f>Matriz_Plataforma!AA2</f>
        <v>Q.A. Pleno</v>
      </c>
      <c r="C13" s="68">
        <f>Matriz_Plataforma!AA138</f>
        <v>79</v>
      </c>
      <c r="D13" s="68">
        <f>Matriz_Plataforma!AB138</f>
        <v>11</v>
      </c>
    </row>
    <row r="14" spans="2:4">
      <c r="B14" s="11" t="str">
        <f>Matriz_Plataforma!AC2</f>
        <v>Q.A. Sênior</v>
      </c>
      <c r="C14" s="69">
        <f>Matriz_Plataforma!AC138</f>
        <v>79</v>
      </c>
      <c r="D14" s="69">
        <f>Matriz_Plataforma!AD138</f>
        <v>11</v>
      </c>
    </row>
    <row r="15" spans="2:4">
      <c r="B15" s="10" t="str">
        <f>Matriz_Plataforma!AF2</f>
        <v>Devops Trainee</v>
      </c>
      <c r="C15" s="68">
        <f>Matriz_Plataforma!AF138</f>
        <v>57</v>
      </c>
      <c r="D15" s="68">
        <f>Matriz_Plataforma!AG138</f>
        <v>2</v>
      </c>
    </row>
    <row r="16" spans="2:4">
      <c r="B16" s="11" t="str">
        <f>Matriz_Plataforma!AH2</f>
        <v>Devops Júnior</v>
      </c>
      <c r="C16" s="69">
        <f>Matriz_Plataforma!AH138</f>
        <v>61</v>
      </c>
      <c r="D16" s="69">
        <f>Matriz_Plataforma!AI138</f>
        <v>4</v>
      </c>
    </row>
    <row r="17" spans="2:12">
      <c r="B17" s="10" t="str">
        <f>Matriz_Plataforma!AJ2</f>
        <v>Devops Pleno</v>
      </c>
      <c r="C17" s="68">
        <f>Matriz_Plataforma!AJ138</f>
        <v>74</v>
      </c>
      <c r="D17" s="68">
        <f>Matriz_Plataforma!AK138</f>
        <v>5</v>
      </c>
    </row>
    <row r="18" spans="2:12">
      <c r="B18" s="11" t="str">
        <f>Matriz_Plataforma!AL2</f>
        <v>Devops Sênior</v>
      </c>
      <c r="C18" s="69">
        <f>Matriz_Plataforma!AL138</f>
        <v>75</v>
      </c>
      <c r="D18" s="69">
        <f>Matriz_Plataforma!AM138</f>
        <v>5</v>
      </c>
      <c r="H18" s="9"/>
    </row>
    <row r="19" spans="2:12" ht="15.75">
      <c r="C19" s="9"/>
      <c r="D19" s="9"/>
      <c r="H19" s="145" t="s">
        <v>532</v>
      </c>
      <c r="I19" s="145"/>
      <c r="J19" s="145"/>
      <c r="K19" s="145"/>
      <c r="L19" s="145"/>
    </row>
    <row r="20" spans="2:12">
      <c r="H20" s="71" t="s">
        <v>533</v>
      </c>
      <c r="I20" s="71" t="s">
        <v>531</v>
      </c>
      <c r="J20" s="71" t="s">
        <v>534</v>
      </c>
      <c r="K20" s="71" t="s">
        <v>535</v>
      </c>
      <c r="L20" s="71" t="s">
        <v>536</v>
      </c>
    </row>
    <row r="21" spans="2:12">
      <c r="H21" s="72">
        <f>SUM(H24:H39)/17</f>
        <v>0.39948189065836126</v>
      </c>
      <c r="I21" s="68" t="str">
        <f>IF(H21&lt;J21, "Perde", IF(H21&lt;K21, "Mínimo", IF(H21&lt;L21, "Atinge", "Supera")))</f>
        <v>Perde</v>
      </c>
      <c r="J21" s="73">
        <v>0.8</v>
      </c>
      <c r="K21" s="73">
        <v>0.85</v>
      </c>
      <c r="L21" s="73">
        <v>0.9</v>
      </c>
    </row>
    <row r="22" spans="2:12" ht="15.75">
      <c r="C22" s="9"/>
      <c r="D22" s="9"/>
      <c r="H22" s="145" t="s">
        <v>537</v>
      </c>
      <c r="I22" s="145"/>
      <c r="J22" s="145"/>
      <c r="K22" s="145"/>
      <c r="L22" s="145"/>
    </row>
    <row r="23" spans="2:12">
      <c r="B23" s="71" t="s">
        <v>538</v>
      </c>
      <c r="C23" s="71" t="s">
        <v>539</v>
      </c>
      <c r="D23" s="58" t="s">
        <v>53</v>
      </c>
      <c r="E23" s="58" t="s">
        <v>540</v>
      </c>
      <c r="F23" s="58" t="s">
        <v>541</v>
      </c>
      <c r="H23" s="71" t="s">
        <v>533</v>
      </c>
      <c r="I23" s="71" t="s">
        <v>531</v>
      </c>
      <c r="J23" s="71" t="s">
        <v>534</v>
      </c>
      <c r="K23" s="71" t="s">
        <v>535</v>
      </c>
      <c r="L23" s="71" t="s">
        <v>536</v>
      </c>
    </row>
    <row r="24" spans="2:12">
      <c r="B24" s="10" t="str">
        <f>Matriz_Plataforma!AT2</f>
        <v>PAULO CORREIA CAMARGO JUNIOR</v>
      </c>
      <c r="C24" s="10" t="str">
        <f>Matriz_Plataforma!AT3</f>
        <v>Dev Júnior Frontend</v>
      </c>
      <c r="D24" s="68">
        <f>INDEX($D$3:$D$18, MATCH(C$24:C$40,$B$3:$B$18, 0))</f>
        <v>6</v>
      </c>
      <c r="E24" s="68">
        <f>Matriz_Plataforma!AT138</f>
        <v>3</v>
      </c>
      <c r="F24" s="146">
        <f>E24</f>
        <v>3</v>
      </c>
      <c r="H24" s="72">
        <f t="shared" ref="H24:H40" si="0">(D24-E24)/D24</f>
        <v>0.5</v>
      </c>
      <c r="I24" s="68" t="str">
        <f t="shared" ref="I24:I40" si="1">IF(H24&lt;J24, "Perde", IF(H24&lt;K24, "Mínimo", IF(H24&lt;L24, "Atinge", "Supera")))</f>
        <v>Perde</v>
      </c>
      <c r="J24" s="73">
        <v>0.8</v>
      </c>
      <c r="K24" s="73">
        <v>0.85</v>
      </c>
      <c r="L24" s="73">
        <v>0.9</v>
      </c>
    </row>
    <row r="25" spans="2:12">
      <c r="B25" s="11" t="str">
        <f>Matriz_Plataforma!AV2</f>
        <v>MARCOS ADRIANO RIBEIRO LIMA</v>
      </c>
      <c r="C25" s="11" t="str">
        <f>Matriz_Plataforma!AV3</f>
        <v>Dev Pleno Backend</v>
      </c>
      <c r="D25" s="69">
        <f t="shared" ref="D25:D40" si="2">INDEX($D$3:$D$18, MATCH(C$24:C$40,$B$3:$B$18, 0))</f>
        <v>13</v>
      </c>
      <c r="E25" s="69">
        <f>Matriz_Plataforma!AV138</f>
        <v>7</v>
      </c>
      <c r="F25" s="147">
        <f>E25-4</f>
        <v>3</v>
      </c>
      <c r="H25" s="70">
        <f t="shared" si="0"/>
        <v>0.46153846153846156</v>
      </c>
      <c r="I25" s="69" t="str">
        <f t="shared" si="1"/>
        <v>Perde</v>
      </c>
      <c r="J25" s="74">
        <v>0.8</v>
      </c>
      <c r="K25" s="74">
        <v>0.85</v>
      </c>
      <c r="L25" s="74">
        <v>0.9</v>
      </c>
    </row>
    <row r="26" spans="2:12">
      <c r="B26" s="10" t="str">
        <f>Matriz_Plataforma!AX2</f>
        <v>BRUNA BRANCO</v>
      </c>
      <c r="C26" s="10" t="str">
        <f>Matriz_Plataforma!AX3</f>
        <v>Dev Pleno Frontend</v>
      </c>
      <c r="D26" s="68">
        <f t="shared" si="2"/>
        <v>7</v>
      </c>
      <c r="E26" s="68">
        <f>Matriz_Plataforma!AX138</f>
        <v>7</v>
      </c>
      <c r="F26" s="146"/>
      <c r="H26" s="72">
        <f t="shared" si="0"/>
        <v>0</v>
      </c>
      <c r="I26" s="68" t="str">
        <f t="shared" si="1"/>
        <v>Perde</v>
      </c>
      <c r="J26" s="73">
        <v>0.8</v>
      </c>
      <c r="K26" s="73">
        <v>0.85</v>
      </c>
      <c r="L26" s="73">
        <v>0.9</v>
      </c>
    </row>
    <row r="27" spans="2:12">
      <c r="B27" s="11" t="str">
        <f>Matriz_Plataforma!AZ2</f>
        <v>EDIMILSON DA SILVA PEREIRA</v>
      </c>
      <c r="C27" s="11" t="str">
        <f>Matriz_Plataforma!AZ3</f>
        <v>Dev Pleno Backend</v>
      </c>
      <c r="D27" s="69">
        <f t="shared" si="2"/>
        <v>13</v>
      </c>
      <c r="E27" s="69">
        <f>Matriz_Plataforma!AZ138</f>
        <v>11</v>
      </c>
      <c r="F27" s="147"/>
      <c r="H27" s="70">
        <f t="shared" si="0"/>
        <v>0.15384615384615385</v>
      </c>
      <c r="I27" s="69" t="str">
        <f t="shared" si="1"/>
        <v>Perde</v>
      </c>
      <c r="J27" s="74">
        <v>0.8</v>
      </c>
      <c r="K27" s="74">
        <v>0.85</v>
      </c>
      <c r="L27" s="74">
        <v>0.9</v>
      </c>
    </row>
    <row r="28" spans="2:12">
      <c r="B28" s="10" t="str">
        <f>Matriz_Plataforma!BB2</f>
        <v>GUILHERME ZANELLA HUGEN</v>
      </c>
      <c r="C28" s="10" t="str">
        <f>Matriz_Plataforma!BB3</f>
        <v>Devops Pleno</v>
      </c>
      <c r="D28" s="68">
        <f t="shared" si="2"/>
        <v>5</v>
      </c>
      <c r="E28" s="68">
        <f>Matriz_Plataforma!BB138</f>
        <v>3</v>
      </c>
      <c r="F28" s="146"/>
      <c r="H28" s="72">
        <f t="shared" si="0"/>
        <v>0.4</v>
      </c>
      <c r="I28" s="68" t="str">
        <f t="shared" si="1"/>
        <v>Perde</v>
      </c>
      <c r="J28" s="73">
        <v>0.8</v>
      </c>
      <c r="K28" s="73">
        <v>0.85</v>
      </c>
      <c r="L28" s="73">
        <v>0.9</v>
      </c>
    </row>
    <row r="29" spans="2:12">
      <c r="B29" s="11" t="str">
        <f>Matriz_Plataforma!BD2</f>
        <v>RAFAEL ALDO SEROISKA</v>
      </c>
      <c r="C29" s="11" t="str">
        <f>Matriz_Plataforma!BD3</f>
        <v>Q.A. Sênior</v>
      </c>
      <c r="D29" s="69">
        <f t="shared" si="2"/>
        <v>11</v>
      </c>
      <c r="E29" s="69">
        <f>Matriz_Plataforma!BD138</f>
        <v>4</v>
      </c>
      <c r="F29" s="147"/>
      <c r="H29" s="70">
        <f t="shared" si="0"/>
        <v>0.63636363636363635</v>
      </c>
      <c r="I29" s="69" t="str">
        <f t="shared" si="1"/>
        <v>Perde</v>
      </c>
      <c r="J29" s="74">
        <v>0.8</v>
      </c>
      <c r="K29" s="74">
        <v>0.85</v>
      </c>
      <c r="L29" s="74">
        <v>0.9</v>
      </c>
    </row>
    <row r="30" spans="2:12">
      <c r="B30" s="10" t="str">
        <f>Matriz_Plataforma!BF2</f>
        <v>WELLENGTON JOSE MACHADO</v>
      </c>
      <c r="C30" s="10" t="str">
        <f>Matriz_Plataforma!BF3</f>
        <v>Q.A. Júnior</v>
      </c>
      <c r="D30" s="68">
        <f t="shared" si="2"/>
        <v>11</v>
      </c>
      <c r="E30" s="68">
        <f>Matriz_Plataforma!BF138</f>
        <v>4</v>
      </c>
      <c r="F30" s="146"/>
      <c r="H30" s="72">
        <f t="shared" si="0"/>
        <v>0.63636363636363635</v>
      </c>
      <c r="I30" s="68" t="str">
        <f t="shared" si="1"/>
        <v>Perde</v>
      </c>
      <c r="J30" s="73">
        <v>0.8</v>
      </c>
      <c r="K30" s="73">
        <v>0.85</v>
      </c>
      <c r="L30" s="73">
        <v>0.9</v>
      </c>
    </row>
    <row r="31" spans="2:12">
      <c r="B31" s="11" t="str">
        <f>Matriz_Plataforma!BH2</f>
        <v>CEDRICK QUADROS COSTA</v>
      </c>
      <c r="C31" s="11" t="str">
        <f>Matriz_Plataforma!BH3</f>
        <v>Dev Sênior Backend</v>
      </c>
      <c r="D31" s="69">
        <f t="shared" si="2"/>
        <v>13</v>
      </c>
      <c r="E31" s="69">
        <f>Matriz_Plataforma!BH138</f>
        <v>10</v>
      </c>
      <c r="F31" s="147"/>
      <c r="H31" s="70">
        <f t="shared" si="0"/>
        <v>0.23076923076923078</v>
      </c>
      <c r="I31" s="69" t="str">
        <f t="shared" si="1"/>
        <v>Perde</v>
      </c>
      <c r="J31" s="74">
        <v>0.8</v>
      </c>
      <c r="K31" s="74">
        <v>0.85</v>
      </c>
      <c r="L31" s="74">
        <v>0.9</v>
      </c>
    </row>
    <row r="32" spans="2:12">
      <c r="B32" s="10" t="str">
        <f>Matriz_Plataforma!BJ2</f>
        <v>DAVI DOS SANTOS SILVA GONCALVES</v>
      </c>
      <c r="C32" s="10" t="str">
        <f>Matriz_Plataforma!BJ3</f>
        <v>Q.A. Júnior</v>
      </c>
      <c r="D32" s="68">
        <f t="shared" si="2"/>
        <v>11</v>
      </c>
      <c r="E32" s="68">
        <f>Matriz_Plataforma!BJ138</f>
        <v>3</v>
      </c>
      <c r="F32" s="146"/>
      <c r="H32" s="72">
        <f t="shared" si="0"/>
        <v>0.72727272727272729</v>
      </c>
      <c r="I32" s="68" t="str">
        <f t="shared" si="1"/>
        <v>Perde</v>
      </c>
      <c r="J32" s="73">
        <v>0.8</v>
      </c>
      <c r="K32" s="73">
        <v>0.85</v>
      </c>
      <c r="L32" s="73">
        <v>0.9</v>
      </c>
    </row>
    <row r="33" spans="2:12">
      <c r="B33" s="11" t="str">
        <f>Matriz_Plataforma!BL2</f>
        <v>IGOR ALESSANDRO FORGHIERI</v>
      </c>
      <c r="C33" s="11" t="str">
        <f>Matriz_Plataforma!BL3</f>
        <v>Q.A. Júnior</v>
      </c>
      <c r="D33" s="69">
        <f t="shared" si="2"/>
        <v>11</v>
      </c>
      <c r="E33" s="69">
        <f>Matriz_Plataforma!BL138</f>
        <v>3</v>
      </c>
      <c r="F33" s="147"/>
      <c r="H33" s="70">
        <f t="shared" si="0"/>
        <v>0.72727272727272729</v>
      </c>
      <c r="I33" s="69" t="str">
        <f t="shared" si="1"/>
        <v>Perde</v>
      </c>
      <c r="J33" s="74">
        <v>0.8</v>
      </c>
      <c r="K33" s="74">
        <v>0.85</v>
      </c>
      <c r="L33" s="74">
        <v>0.9</v>
      </c>
    </row>
    <row r="34" spans="2:12">
      <c r="B34" s="10" t="str">
        <f>Matriz_Plataforma!BN2</f>
        <v>MAURICIO DE SOUZA PERES</v>
      </c>
      <c r="C34" s="10" t="str">
        <f>Matriz_Plataforma!BN3</f>
        <v>Devops Pleno</v>
      </c>
      <c r="D34" s="68">
        <f t="shared" si="2"/>
        <v>5</v>
      </c>
      <c r="E34" s="68">
        <f>Matriz_Plataforma!BN138</f>
        <v>5</v>
      </c>
      <c r="F34" s="146"/>
      <c r="H34" s="72">
        <f t="shared" si="0"/>
        <v>0</v>
      </c>
      <c r="I34" s="68" t="str">
        <f t="shared" si="1"/>
        <v>Perde</v>
      </c>
      <c r="J34" s="73">
        <v>0.8</v>
      </c>
      <c r="K34" s="73">
        <v>0.85</v>
      </c>
      <c r="L34" s="73">
        <v>0.9</v>
      </c>
    </row>
    <row r="35" spans="2:12">
      <c r="B35" s="11" t="str">
        <f>Matriz_Plataforma!BP2</f>
        <v>DIEGO DE LIZ</v>
      </c>
      <c r="C35" s="11" t="str">
        <f>Matriz_Plataforma!BP3</f>
        <v>Dev Sênior Frontend</v>
      </c>
      <c r="D35" s="69">
        <f t="shared" si="2"/>
        <v>7</v>
      </c>
      <c r="E35" s="69">
        <f>Matriz_Plataforma!BP138</f>
        <v>5</v>
      </c>
      <c r="F35" s="147"/>
      <c r="H35" s="70">
        <f t="shared" si="0"/>
        <v>0.2857142857142857</v>
      </c>
      <c r="I35" s="69" t="str">
        <f t="shared" si="1"/>
        <v>Perde</v>
      </c>
      <c r="J35" s="74">
        <v>0.8</v>
      </c>
      <c r="K35" s="74">
        <v>0.85</v>
      </c>
      <c r="L35" s="74">
        <v>0.9</v>
      </c>
    </row>
    <row r="36" spans="2:12">
      <c r="B36" s="10" t="str">
        <f>Matriz_Plataforma!BR2</f>
        <v>ADRIEL GOULART DE ABRANJO</v>
      </c>
      <c r="C36" s="10" t="str">
        <f>Matriz_Plataforma!BR3</f>
        <v>Dev Pleno Backend</v>
      </c>
      <c r="D36" s="68">
        <f t="shared" si="2"/>
        <v>13</v>
      </c>
      <c r="E36" s="68">
        <f>Matriz_Plataforma!BR138</f>
        <v>5</v>
      </c>
      <c r="F36" s="146"/>
      <c r="H36" s="72">
        <f t="shared" si="0"/>
        <v>0.61538461538461542</v>
      </c>
      <c r="I36" s="68" t="str">
        <f t="shared" si="1"/>
        <v>Perde</v>
      </c>
      <c r="J36" s="73">
        <v>0.8</v>
      </c>
      <c r="K36" s="73">
        <v>0.85</v>
      </c>
      <c r="L36" s="73">
        <v>0.9</v>
      </c>
    </row>
    <row r="37" spans="2:12">
      <c r="B37" s="11" t="str">
        <f>Matriz_Plataforma!BT2</f>
        <v>MATHEUS BECKHAUSER NUNES</v>
      </c>
      <c r="C37" s="11" t="str">
        <f>Matriz_Plataforma!BT3</f>
        <v>Dev Júnior Backend</v>
      </c>
      <c r="D37" s="69">
        <f t="shared" si="2"/>
        <v>12</v>
      </c>
      <c r="E37" s="69">
        <f>Matriz_Plataforma!BT138</f>
        <v>5</v>
      </c>
      <c r="F37" s="147"/>
      <c r="H37" s="70">
        <f t="shared" si="0"/>
        <v>0.58333333333333337</v>
      </c>
      <c r="I37" s="69" t="str">
        <f t="shared" si="1"/>
        <v>Perde</v>
      </c>
      <c r="J37" s="74">
        <v>0.8</v>
      </c>
      <c r="K37" s="74">
        <v>0.85</v>
      </c>
      <c r="L37" s="74">
        <v>0.9</v>
      </c>
    </row>
    <row r="38" spans="2:12">
      <c r="B38" s="10" t="str">
        <f>Matriz_Plataforma!BV2</f>
        <v>GILBERTO MOTA DE OLIVEIRA JUNIOR</v>
      </c>
      <c r="C38" s="10" t="str">
        <f>Matriz_Plataforma!BV3</f>
        <v>Dev Júnior Backend</v>
      </c>
      <c r="D38" s="68">
        <f t="shared" si="2"/>
        <v>12</v>
      </c>
      <c r="E38" s="68">
        <f>Matriz_Plataforma!BV138</f>
        <v>6</v>
      </c>
      <c r="F38" s="146"/>
      <c r="H38" s="72">
        <f t="shared" si="0"/>
        <v>0.5</v>
      </c>
      <c r="I38" s="68" t="str">
        <f t="shared" si="1"/>
        <v>Perde</v>
      </c>
      <c r="J38" s="73">
        <v>0.8</v>
      </c>
      <c r="K38" s="73">
        <v>0.85</v>
      </c>
      <c r="L38" s="73">
        <v>0.9</v>
      </c>
    </row>
    <row r="39" spans="2:12">
      <c r="B39" s="11" t="str">
        <f>Matriz_Plataforma!BX2</f>
        <v>FELIPE HEIDEN MAINES</v>
      </c>
      <c r="C39" s="11" t="str">
        <f>Matriz_Plataforma!BX3</f>
        <v>Dev Júnior Frontend</v>
      </c>
      <c r="D39" s="69">
        <f t="shared" si="2"/>
        <v>6</v>
      </c>
      <c r="E39" s="69">
        <f>Matriz_Plataforma!BX138</f>
        <v>4</v>
      </c>
      <c r="F39" s="147"/>
      <c r="H39" s="70">
        <f t="shared" si="0"/>
        <v>0.33333333333333331</v>
      </c>
      <c r="I39" s="69" t="str">
        <f t="shared" si="1"/>
        <v>Perde</v>
      </c>
      <c r="J39" s="74">
        <v>0.8</v>
      </c>
      <c r="K39" s="74">
        <v>0.85</v>
      </c>
      <c r="L39" s="74">
        <v>0.9</v>
      </c>
    </row>
    <row r="40" spans="2:12">
      <c r="B40" s="10" t="str">
        <f>Matriz_Plataforma!BZ2</f>
        <v>JOÃO VITOR RODRIGUES DE MORAES</v>
      </c>
      <c r="C40" s="10" t="str">
        <f>Matriz_Plataforma!BZ3</f>
        <v>Dev Júnior Backend</v>
      </c>
      <c r="D40" s="68">
        <f t="shared" si="2"/>
        <v>12</v>
      </c>
      <c r="E40" s="68">
        <f>Matriz_Plataforma!BZ138</f>
        <v>4</v>
      </c>
      <c r="F40" s="146"/>
      <c r="H40" s="72">
        <f t="shared" si="0"/>
        <v>0.66666666666666663</v>
      </c>
      <c r="I40" s="68" t="str">
        <f t="shared" si="1"/>
        <v>Perde</v>
      </c>
      <c r="J40" s="73">
        <v>0.8</v>
      </c>
      <c r="K40" s="73">
        <v>0.85</v>
      </c>
      <c r="L40" s="73">
        <v>0.9</v>
      </c>
    </row>
  </sheetData>
  <mergeCells count="2">
    <mergeCell ref="H19:L19"/>
    <mergeCell ref="H22:L22"/>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b2dd99e-b2de-448d-b345-3c0920de638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1DE16C7E16FE4419C28EDE405802D46" ma:contentTypeVersion="15" ma:contentTypeDescription="Crie um novo documento." ma:contentTypeScope="" ma:versionID="9052943b1f9786da8c7fe9fe6a97a8a1">
  <xsd:schema xmlns:xsd="http://www.w3.org/2001/XMLSchema" xmlns:xs="http://www.w3.org/2001/XMLSchema" xmlns:p="http://schemas.microsoft.com/office/2006/metadata/properties" xmlns:ns3="cf2c74e5-9652-4460-96dd-9d23fea7a7da" xmlns:ns4="2b2dd99e-b2de-448d-b345-3c0920de6388" targetNamespace="http://schemas.microsoft.com/office/2006/metadata/properties" ma:root="true" ma:fieldsID="b9b75e0c50056b008bf1f1fa6049a105" ns3:_="" ns4:_="">
    <xsd:import namespace="cf2c74e5-9652-4460-96dd-9d23fea7a7da"/>
    <xsd:import namespace="2b2dd99e-b2de-448d-b345-3c0920de638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2c74e5-9652-4460-96dd-9d23fea7a7da"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SharingHintHash" ma:index="10" nillable="true" ma:displayName="Hash de Dica de Compartilhamento"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2dd99e-b2de-448d-b345-3c0920de638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18CDA8-6114-47F0-98CD-8848C7FE96B6}"/>
</file>

<file path=customXml/itemProps2.xml><?xml version="1.0" encoding="utf-8"?>
<ds:datastoreItem xmlns:ds="http://schemas.openxmlformats.org/officeDocument/2006/customXml" ds:itemID="{481F6496-1D68-4F8C-8A38-30584AC7D5DE}"/>
</file>

<file path=customXml/itemProps3.xml><?xml version="1.0" encoding="utf-8"?>
<ds:datastoreItem xmlns:ds="http://schemas.openxmlformats.org/officeDocument/2006/customXml" ds:itemID="{7D1BAB6F-FC17-43FD-9E9C-285F9CE9FE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Alvadi Pedrão Junior</dc:creator>
  <cp:keywords/>
  <dc:description/>
  <cp:lastModifiedBy/>
  <cp:revision/>
  <dcterms:created xsi:type="dcterms:W3CDTF">2015-06-05T18:19:34Z</dcterms:created>
  <dcterms:modified xsi:type="dcterms:W3CDTF">2026-03-05T19:01:50Z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0x01010091DE16C7E16FE4419C28EDE405802D46</vt:lpwstr>
  </property>
</Properties>
</file>